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2c81b64dbd6b80/Desktop/"/>
    </mc:Choice>
  </mc:AlternateContent>
  <xr:revisionPtr revIDLastSave="0" documentId="8_{F56D2735-160A-4369-BB0D-DA325F73C6DB}" xr6:coauthVersionLast="47" xr6:coauthVersionMax="47" xr10:uidLastSave="{00000000-0000-0000-0000-000000000000}"/>
  <bookViews>
    <workbookView xWindow="-120" yWindow="-120" windowWidth="20730" windowHeight="11040" tabRatio="500" firstSheet="1" activeTab="4" xr2:uid="{00000000-000D-0000-FFFF-FFFF00000000}"/>
  </bookViews>
  <sheets>
    <sheet name="Raw_Data" sheetId="2" r:id="rId1"/>
    <sheet name="Clean_Data" sheetId="3" r:id="rId2"/>
    <sheet name="Pivot_Summary" sheetId="5" r:id="rId3"/>
    <sheet name="Lookups" sheetId="4" r:id="rId4"/>
    <sheet name="Charts" sheetId="6" r:id="rId5"/>
    <sheet name="Dashboard" sheetId="7" r:id="rId6"/>
  </sheets>
  <definedNames>
    <definedName name="_xlnm._FilterDatabase" localSheetId="1" hidden="1">Clean_Data!$A$1:$Q$21</definedName>
    <definedName name="_xlnm._FilterDatabase" localSheetId="0" hidden="1">Raw_Data!$A$1:$G$21</definedName>
    <definedName name="d_Month">Clean_Data!$I$2:$I$21</definedName>
    <definedName name="d_Product">Clean_Data!$B$2:$B$21</definedName>
    <definedName name="d_Profit">Clean_Data!$E$2:$E$21</definedName>
    <definedName name="d_Region">Clean_Data!$C$2:$C$21</definedName>
    <definedName name="d_Sales">Clean_Data!$K$2:$K$21</definedName>
    <definedName name="_xlnm.Print_Area" localSheetId="5">Dashboard!$A$1:$L$56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5" i="7" l="1"/>
  <c r="J55" i="7"/>
  <c r="J54" i="7"/>
  <c r="B54" i="7"/>
  <c r="F52" i="7"/>
  <c r="A6" i="7"/>
  <c r="E25" i="5"/>
  <c r="C25" i="5"/>
  <c r="B25" i="5"/>
  <c r="F24" i="5"/>
  <c r="C24" i="5"/>
  <c r="B24" i="5"/>
  <c r="E23" i="5"/>
  <c r="D23" i="5"/>
  <c r="F22" i="5"/>
  <c r="B22" i="5"/>
  <c r="F21" i="5"/>
  <c r="E21" i="5"/>
  <c r="D21" i="5"/>
  <c r="B21" i="5"/>
  <c r="C16" i="5"/>
  <c r="G8" i="5"/>
  <c r="C8" i="5"/>
  <c r="G7" i="5"/>
  <c r="F7" i="5"/>
  <c r="C7" i="5"/>
  <c r="G6" i="5"/>
  <c r="C6" i="5"/>
  <c r="G5" i="5"/>
  <c r="G9" i="5" s="1"/>
  <c r="G21" i="6" s="1"/>
  <c r="F5" i="5"/>
  <c r="C5" i="5"/>
  <c r="G4" i="5"/>
  <c r="C4" i="5"/>
  <c r="C9" i="5" s="1"/>
  <c r="Q21" i="3"/>
  <c r="P21" i="3"/>
  <c r="L21" i="3"/>
  <c r="K21" i="3"/>
  <c r="O21" i="3" s="1"/>
  <c r="J21" i="3"/>
  <c r="I21" i="3"/>
  <c r="C54" i="7" s="1"/>
  <c r="H21" i="3"/>
  <c r="P20" i="3"/>
  <c r="L20" i="3"/>
  <c r="K20" i="3"/>
  <c r="Q20" i="3" s="1"/>
  <c r="J20" i="3"/>
  <c r="I20" i="3"/>
  <c r="C51" i="7" s="1"/>
  <c r="H20" i="3"/>
  <c r="P19" i="3"/>
  <c r="O19" i="3"/>
  <c r="N19" i="3"/>
  <c r="M19" i="3"/>
  <c r="L19" i="3"/>
  <c r="K19" i="3"/>
  <c r="Q19" i="3" s="1"/>
  <c r="J19" i="3"/>
  <c r="I19" i="3"/>
  <c r="H19" i="3"/>
  <c r="Q18" i="3"/>
  <c r="P18" i="3"/>
  <c r="O18" i="3"/>
  <c r="N18" i="3"/>
  <c r="M18" i="3"/>
  <c r="L18" i="3"/>
  <c r="K18" i="3"/>
  <c r="J18" i="3"/>
  <c r="I18" i="3"/>
  <c r="H18" i="3"/>
  <c r="Q17" i="3"/>
  <c r="P17" i="3"/>
  <c r="L17" i="3"/>
  <c r="K17" i="3"/>
  <c r="O17" i="3" s="1"/>
  <c r="J17" i="3"/>
  <c r="I17" i="3"/>
  <c r="F51" i="7" s="1"/>
  <c r="H17" i="3"/>
  <c r="P16" i="3"/>
  <c r="L16" i="3"/>
  <c r="K16" i="3"/>
  <c r="Q16" i="3" s="1"/>
  <c r="J16" i="3"/>
  <c r="I16" i="3"/>
  <c r="H16" i="3"/>
  <c r="P15" i="3"/>
  <c r="O15" i="3"/>
  <c r="N15" i="3"/>
  <c r="M15" i="3"/>
  <c r="L15" i="3"/>
  <c r="K15" i="3"/>
  <c r="C23" i="5" s="1"/>
  <c r="J15" i="3"/>
  <c r="I15" i="3"/>
  <c r="H15" i="3"/>
  <c r="Q14" i="3"/>
  <c r="P14" i="3"/>
  <c r="O14" i="3"/>
  <c r="N14" i="3"/>
  <c r="M14" i="3"/>
  <c r="L14" i="3"/>
  <c r="K14" i="3"/>
  <c r="J14" i="3"/>
  <c r="I14" i="3"/>
  <c r="H14" i="3"/>
  <c r="Q13" i="3"/>
  <c r="P13" i="3"/>
  <c r="L13" i="3"/>
  <c r="K13" i="3"/>
  <c r="O13" i="3" s="1"/>
  <c r="J13" i="3"/>
  <c r="I13" i="3"/>
  <c r="H13" i="3"/>
  <c r="P12" i="3"/>
  <c r="L12" i="3"/>
  <c r="K12" i="3"/>
  <c r="Q12" i="3" s="1"/>
  <c r="J12" i="3"/>
  <c r="I12" i="3"/>
  <c r="H12" i="3"/>
  <c r="P11" i="3"/>
  <c r="O11" i="3"/>
  <c r="N11" i="3"/>
  <c r="M11" i="3"/>
  <c r="L11" i="3"/>
  <c r="K11" i="3"/>
  <c r="Q11" i="3" s="1"/>
  <c r="J11" i="3"/>
  <c r="I11" i="3"/>
  <c r="H11" i="3"/>
  <c r="Q10" i="3"/>
  <c r="P10" i="3"/>
  <c r="O10" i="3"/>
  <c r="N10" i="3"/>
  <c r="M10" i="3"/>
  <c r="L10" i="3"/>
  <c r="K10" i="3"/>
  <c r="J10" i="3"/>
  <c r="I10" i="3"/>
  <c r="H10" i="3"/>
  <c r="Q9" i="3"/>
  <c r="P9" i="3"/>
  <c r="L9" i="3"/>
  <c r="K9" i="3"/>
  <c r="O9" i="3" s="1"/>
  <c r="J9" i="3"/>
  <c r="I9" i="3"/>
  <c r="H9" i="3"/>
  <c r="P8" i="3"/>
  <c r="L8" i="3"/>
  <c r="K8" i="3"/>
  <c r="Q8" i="3" s="1"/>
  <c r="J8" i="3"/>
  <c r="I8" i="3"/>
  <c r="H8" i="3"/>
  <c r="P7" i="3"/>
  <c r="O7" i="3"/>
  <c r="N7" i="3"/>
  <c r="M7" i="3"/>
  <c r="L7" i="3"/>
  <c r="K7" i="3"/>
  <c r="B5" i="5" s="1"/>
  <c r="J7" i="3"/>
  <c r="I7" i="3"/>
  <c r="C52" i="7" s="1"/>
  <c r="H7" i="3"/>
  <c r="Q6" i="3"/>
  <c r="P6" i="3"/>
  <c r="O6" i="3"/>
  <c r="N6" i="3"/>
  <c r="M6" i="3"/>
  <c r="L6" i="3"/>
  <c r="K6" i="3"/>
  <c r="J6" i="3"/>
  <c r="I6" i="3"/>
  <c r="H6" i="3"/>
  <c r="Q5" i="3"/>
  <c r="P5" i="3"/>
  <c r="N5" i="3"/>
  <c r="L5" i="3"/>
  <c r="K5" i="3"/>
  <c r="O5" i="3" s="1"/>
  <c r="J5" i="3"/>
  <c r="I5" i="3"/>
  <c r="D16" i="5" s="1"/>
  <c r="H5" i="3"/>
  <c r="P4" i="3"/>
  <c r="L4" i="3"/>
  <c r="K4" i="3"/>
  <c r="Q4" i="3" s="1"/>
  <c r="J4" i="3"/>
  <c r="I4" i="3"/>
  <c r="F55" i="7" s="1"/>
  <c r="H4" i="3"/>
  <c r="P3" i="3"/>
  <c r="O3" i="3"/>
  <c r="N3" i="3"/>
  <c r="M3" i="3"/>
  <c r="L3" i="3"/>
  <c r="K3" i="3"/>
  <c r="Q3" i="3" s="1"/>
  <c r="J3" i="3"/>
  <c r="I3" i="3"/>
  <c r="C55" i="7" s="1"/>
  <c r="H3" i="3"/>
  <c r="Q2" i="3"/>
  <c r="P2" i="3"/>
  <c r="O2" i="3"/>
  <c r="N2" i="3"/>
  <c r="M2" i="3"/>
  <c r="L2" i="3"/>
  <c r="K2" i="3"/>
  <c r="E24" i="5" s="1"/>
  <c r="J2" i="3"/>
  <c r="I2" i="3"/>
  <c r="K53" i="7" s="1"/>
  <c r="H2" i="3"/>
  <c r="B4" i="5" l="1"/>
  <c r="B6" i="5"/>
  <c r="B8" i="5"/>
  <c r="C13" i="5"/>
  <c r="A40" i="6" s="1"/>
  <c r="C17" i="5"/>
  <c r="C22" i="5"/>
  <c r="F23" i="5"/>
  <c r="D25" i="5"/>
  <c r="A9" i="7"/>
  <c r="K52" i="7"/>
  <c r="F54" i="7"/>
  <c r="J52" i="7"/>
  <c r="M4" i="3"/>
  <c r="M16" i="3"/>
  <c r="M20" i="3"/>
  <c r="D13" i="5"/>
  <c r="N12" i="3"/>
  <c r="N20" i="3"/>
  <c r="F4" i="5"/>
  <c r="F6" i="5"/>
  <c r="F8" i="5"/>
  <c r="C14" i="5"/>
  <c r="E22" i="5"/>
  <c r="F25" i="5"/>
  <c r="J51" i="7"/>
  <c r="C53" i="7"/>
  <c r="K54" i="7"/>
  <c r="D17" i="5"/>
  <c r="D9" i="7"/>
  <c r="B53" i="7"/>
  <c r="N4" i="3"/>
  <c r="N8" i="3"/>
  <c r="N16" i="3"/>
  <c r="O4" i="3"/>
  <c r="M5" i="3"/>
  <c r="Q7" i="3"/>
  <c r="O8" i="3"/>
  <c r="M9" i="3"/>
  <c r="O12" i="3"/>
  <c r="M13" i="3"/>
  <c r="Q15" i="3"/>
  <c r="O16" i="3"/>
  <c r="M17" i="3"/>
  <c r="O20" i="3"/>
  <c r="M21" i="3"/>
  <c r="D14" i="5"/>
  <c r="C21" i="5"/>
  <c r="D24" i="5"/>
  <c r="J9" i="7"/>
  <c r="K51" i="7"/>
  <c r="F53" i="7"/>
  <c r="B55" i="7"/>
  <c r="B51" i="7"/>
  <c r="N9" i="3"/>
  <c r="N13" i="3"/>
  <c r="N17" i="3"/>
  <c r="N21" i="3"/>
  <c r="B7" i="5"/>
  <c r="C15" i="5"/>
  <c r="B23" i="5"/>
  <c r="B52" i="7"/>
  <c r="J53" i="7"/>
  <c r="M8" i="3"/>
  <c r="M12" i="3"/>
  <c r="D22" i="5"/>
  <c r="D15" i="5"/>
  <c r="D10" i="7" l="1"/>
  <c r="G9" i="7"/>
  <c r="G40" i="6"/>
  <c r="F9" i="5"/>
  <c r="A10" i="7"/>
  <c r="A12" i="7"/>
  <c r="B9" i="5"/>
  <c r="A21" i="6"/>
</calcChain>
</file>

<file path=xl/sharedStrings.xml><?xml version="1.0" encoding="utf-8"?>
<sst xmlns="http://schemas.openxmlformats.org/spreadsheetml/2006/main" count="216" uniqueCount="71">
  <si>
    <t>SalesID</t>
  </si>
  <si>
    <t>Product</t>
  </si>
  <si>
    <t>Region</t>
  </si>
  <si>
    <t>Sales</t>
  </si>
  <si>
    <t>Profit</t>
  </si>
  <si>
    <t>Year</t>
  </si>
  <si>
    <t>Date</t>
  </si>
  <si>
    <t>Product D</t>
  </si>
  <si>
    <t>South</t>
  </si>
  <si>
    <t>Product E</t>
  </si>
  <si>
    <t>Central</t>
  </si>
  <si>
    <t>Product C</t>
  </si>
  <si>
    <t>West Coast</t>
  </si>
  <si>
    <t>North</t>
  </si>
  <si>
    <t>Product B</t>
  </si>
  <si>
    <t>East</t>
  </si>
  <si>
    <t>Product A</t>
  </si>
  <si>
    <t>Sales (Raw)</t>
  </si>
  <si>
    <t>Year (Original)</t>
  </si>
  <si>
    <t>Year (Fixed)</t>
  </si>
  <si>
    <t>Month No</t>
  </si>
  <si>
    <t>Month</t>
  </si>
  <si>
    <t>Sales (Clean)</t>
  </si>
  <si>
    <t>Target (VLOOKUP)</t>
  </si>
  <si>
    <t>Sales Level (IF)</t>
  </si>
  <si>
    <t>Performance (Nested IF)</t>
  </si>
  <si>
    <t>Profit Margin %</t>
  </si>
  <si>
    <t>Region Manager (INDEX-MATCH)</t>
  </si>
  <si>
    <t>Met Target?</t>
  </si>
  <si>
    <t>Product Targets</t>
  </si>
  <si>
    <t>Region Managers</t>
  </si>
  <si>
    <t>Target Sales</t>
  </si>
  <si>
    <t>Manager</t>
  </si>
  <si>
    <t>Manager N</t>
  </si>
  <si>
    <t>Manager S</t>
  </si>
  <si>
    <t>Manager E</t>
  </si>
  <si>
    <t>Manager C</t>
  </si>
  <si>
    <t>Manager W</t>
  </si>
  <si>
    <t>Summary Tables (formula-based, auto-update with Clean_Data)</t>
  </si>
  <si>
    <t>Total Sales</t>
  </si>
  <si>
    <t>Total Profit</t>
  </si>
  <si>
    <t>Grand Total</t>
  </si>
  <si>
    <t>Jan</t>
  </si>
  <si>
    <t>Feb</t>
  </si>
  <si>
    <t>Mar</t>
  </si>
  <si>
    <t>Apr</t>
  </si>
  <si>
    <t>May</t>
  </si>
  <si>
    <t>Sales Matrix</t>
  </si>
  <si>
    <t>TASK 5  |  DATA VISUALIZATION</t>
  </si>
  <si>
    <t>Four charts built from the Pivot_Summary tables - they update automatically when Clean_Data changes.</t>
  </si>
  <si>
    <t>Chart 1 - Column chart</t>
  </si>
  <si>
    <t>Chart 2 - Pie chart</t>
  </si>
  <si>
    <t>Chart 3 - Line chart</t>
  </si>
  <si>
    <t>Chart 4 - Bar chart</t>
  </si>
  <si>
    <t>SALES DASHBOARD</t>
  </si>
  <si>
    <t>Interactive view  |  change the yellow cells - KPI cards, insight strip and all charts update automatically.</t>
  </si>
  <si>
    <t>FILTERS</t>
  </si>
  <si>
    <t>Region:</t>
  </si>
  <si>
    <t>All</t>
  </si>
  <si>
    <t>Product:</t>
  </si>
  <si>
    <t>From Month:</t>
  </si>
  <si>
    <t>To Month:</t>
  </si>
  <si>
    <t>(1 = Jan ... 5 = May)</t>
  </si>
  <si>
    <t>TOTAL SALES</t>
  </si>
  <si>
    <t>TOTAL PROFIT</t>
  </si>
  <si>
    <t>PROFIT MARGIN</t>
  </si>
  <si>
    <t>NO. OF ORDERS</t>
  </si>
  <si>
    <t>Profit / Sales</t>
  </si>
  <si>
    <t>Transactions in selection</t>
  </si>
  <si>
    <t>Data behind the charts (auto-calculated from Clean_Data - do not edit)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</si>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</sst>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10"/>
      <color rgb="FF0B2545"/>
      <name val="Arial"/>
      <charset val="1"/>
    </font>
    <font>
      <sz val="10"/>
      <color rgb="FF0000FF"/>
      <name val="Arial"/>
      <charset val="1"/>
    </font>
    <font>
      <i/>
      <sz val="9"/>
      <color rgb="FF6B728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  <font>
      <b/>
      <sz val="13"/>
      <name val="Arial"/>
      <charset val="1"/>
    </font>
    <font>
      <b/>
      <sz val="22"/>
      <color rgb="FFFFFFFF"/>
      <name val="Arial"/>
      <charset val="1"/>
    </font>
    <font>
      <i/>
      <sz val="10"/>
      <color rgb="FFDCE6F5"/>
      <name val="Arial"/>
      <charset val="1"/>
    </font>
    <font>
      <b/>
      <sz val="10"/>
      <color rgb="FF6B7280"/>
      <name val="Arial"/>
      <charset val="1"/>
    </font>
    <font>
      <i/>
      <sz val="10"/>
      <color rgb="FF1F4E78"/>
      <name val="Arial"/>
      <charset val="1"/>
    </font>
    <font>
      <b/>
      <sz val="9"/>
      <color rgb="FF6B7280"/>
      <name val="Arial"/>
      <charset val="1"/>
    </font>
    <font>
      <b/>
      <sz val="11"/>
      <color rgb="FF1F3A93"/>
      <name val="Arial"/>
      <charset val="1"/>
    </font>
    <font>
      <b/>
      <sz val="26"/>
      <color rgb="FF1F4E78"/>
      <name val="Arial"/>
      <charset val="1"/>
    </font>
    <font>
      <b/>
      <sz val="26"/>
      <color rgb="FF2A9D8F"/>
      <name val="Arial"/>
      <charset val="1"/>
    </font>
    <font>
      <b/>
      <sz val="26"/>
      <color rgb="FFF2A33A"/>
      <name val="Arial"/>
      <charset val="1"/>
    </font>
    <font>
      <b/>
      <sz val="26"/>
      <color rgb="FF8E6CC1"/>
      <name val="Arial"/>
      <charset val="1"/>
    </font>
    <font>
      <b/>
      <sz val="11"/>
      <color rgb="FF0B2545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3A93"/>
      </patternFill>
    </fill>
    <fill>
      <patternFill patternType="solid">
        <fgColor rgb="FFF3F6FA"/>
        <bgColor rgb="FFE8F1FB"/>
      </patternFill>
    </fill>
    <fill>
      <patternFill patternType="solid">
        <fgColor rgb="FF0B2545"/>
        <bgColor rgb="FF003300"/>
      </patternFill>
    </fill>
    <fill>
      <patternFill patternType="solid">
        <fgColor rgb="FFE8F1FB"/>
        <bgColor rgb="FFF3F6FA"/>
      </patternFill>
    </fill>
    <fill>
      <patternFill patternType="solid">
        <fgColor rgb="FFFFF2CC"/>
        <bgColor rgb="FFF3F6FA"/>
      </patternFill>
    </fill>
    <fill>
      <patternFill patternType="solid">
        <fgColor rgb="FFFFFFFF"/>
        <bgColor rgb="FFF3F6FA"/>
      </patternFill>
    </fill>
  </fills>
  <borders count="9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7E2"/>
      </left>
      <right style="thin">
        <color rgb="FFD0D7E2"/>
      </right>
      <top style="thick">
        <color rgb="FF1F4E78"/>
      </top>
      <bottom/>
      <diagonal/>
    </border>
    <border>
      <left style="thin">
        <color rgb="FFD0D7E2"/>
      </left>
      <right style="thin">
        <color rgb="FFD0D7E2"/>
      </right>
      <top style="thick">
        <color rgb="FF2A9D8F"/>
      </top>
      <bottom/>
      <diagonal/>
    </border>
    <border>
      <left style="thin">
        <color rgb="FFD0D7E2"/>
      </left>
      <right style="thin">
        <color rgb="FFD0D7E2"/>
      </right>
      <top style="thick">
        <color rgb="FFF2A33A"/>
      </top>
      <bottom/>
      <diagonal/>
    </border>
    <border>
      <left style="thin">
        <color rgb="FFD0D7E2"/>
      </left>
      <right style="thin">
        <color rgb="FFD0D7E2"/>
      </right>
      <top style="thick">
        <color rgb="FF8E6CC1"/>
      </top>
      <bottom/>
      <diagonal/>
    </border>
    <border>
      <left style="thin">
        <color rgb="FFD0D7E2"/>
      </left>
      <right style="thin">
        <color rgb="FFD0D7E2"/>
      </right>
      <top/>
      <bottom/>
      <diagonal/>
    </border>
    <border>
      <left style="thin">
        <color rgb="FFD0D7E2"/>
      </left>
      <right style="thin">
        <color rgb="FFD0D7E2"/>
      </right>
      <top/>
      <bottom style="thin">
        <color rgb="FFD0D7E2"/>
      </bottom>
      <diagonal/>
    </border>
  </borders>
  <cellStyleXfs count="1">
    <xf numFmtId="0" fontId="0" fillId="0" borderId="0"/>
  </cellStyleXfs>
  <cellXfs count="50">
    <xf numFmtId="0" fontId="0" fillId="0" borderId="0" xfId="0"/>
    <xf numFmtId="3" fontId="20" fillId="7" borderId="7" xfId="0" applyNumberFormat="1" applyFont="1" applyFill="1" applyBorder="1" applyAlignment="1">
      <alignment horizontal="center" vertical="center"/>
    </xf>
    <xf numFmtId="165" fontId="19" fillId="7" borderId="7" xfId="0" applyNumberFormat="1" applyFont="1" applyFill="1" applyBorder="1" applyAlignment="1">
      <alignment horizontal="center" vertical="center"/>
    </xf>
    <xf numFmtId="3" fontId="18" fillId="7" borderId="7" xfId="0" applyNumberFormat="1" applyFont="1" applyFill="1" applyBorder="1" applyAlignment="1">
      <alignment horizontal="center" vertical="center"/>
    </xf>
    <xf numFmtId="3" fontId="17" fillId="7" borderId="7" xfId="0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indent="1"/>
    </xf>
    <xf numFmtId="0" fontId="6" fillId="3" borderId="0" xfId="0" applyFont="1" applyFill="1" applyAlignme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inden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6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3" fontId="5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3" fontId="8" fillId="0" borderId="2" xfId="0" applyNumberFormat="1" applyFont="1" applyBorder="1"/>
    <xf numFmtId="164" fontId="8" fillId="0" borderId="2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165" fontId="2" fillId="0" borderId="2" xfId="0" applyNumberFormat="1" applyFont="1" applyBorder="1"/>
    <xf numFmtId="0" fontId="9" fillId="0" borderId="0" xfId="0" applyFont="1"/>
    <xf numFmtId="0" fontId="10" fillId="0" borderId="0" xfId="0" applyFont="1"/>
    <xf numFmtId="0" fontId="1" fillId="0" borderId="2" xfId="0" applyFont="1" applyBorder="1"/>
    <xf numFmtId="0" fontId="7" fillId="0" borderId="0" xfId="0" applyFont="1" applyAlignment="1">
      <alignment horizontal="center" vertical="center" wrapText="1"/>
    </xf>
    <xf numFmtId="0" fontId="13" fillId="3" borderId="0" xfId="0" applyFont="1" applyFill="1"/>
    <xf numFmtId="0" fontId="0" fillId="3" borderId="0" xfId="0" applyFill="1"/>
    <xf numFmtId="0" fontId="15" fillId="3" borderId="0" xfId="0" applyFont="1" applyFill="1"/>
    <xf numFmtId="0" fontId="4" fillId="3" borderId="0" xfId="0" applyFont="1" applyFill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2" fillId="7" borderId="1" xfId="0" applyFont="1" applyFill="1" applyBorder="1"/>
    <xf numFmtId="3" fontId="22" fillId="7" borderId="1" xfId="0" applyNumberFormat="1" applyFont="1" applyFill="1" applyBorder="1"/>
    <xf numFmtId="0" fontId="22" fillId="7" borderId="1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C00000"/>
        <name val="Arial"/>
        <charset val="1"/>
      </font>
    </dxf>
    <dxf>
      <font>
        <color rgb="FF006100"/>
        <name val="Arial"/>
        <charset val="1"/>
      </font>
    </dxf>
    <dxf>
      <font>
        <color rgb="FF9C0006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6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E6CC1"/>
      <rgbColor rgb="FF9999FF"/>
      <rgbColor rgb="FF993366"/>
      <rgbColor rgb="FFFFF2CC"/>
      <rgbColor rgb="FFE8F1FB"/>
      <rgbColor rgb="FF660066"/>
      <rgbColor rgb="FFFF8080"/>
      <rgbColor rgb="FF1F4E78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5"/>
      <rgbColor rgb="FFE5E7EB"/>
      <rgbColor rgb="FFFFE699"/>
      <rgbColor rgb="FFF3F6FA"/>
      <rgbColor rgb="FFFF99CC"/>
      <rgbColor rgb="FFCC99FF"/>
      <rgbColor rgb="FFFFC7CE"/>
      <rgbColor rgb="FF4F81BD"/>
      <rgbColor rgb="FF33CCCC"/>
      <rgbColor rgb="FF99CC00"/>
      <rgbColor rgb="FFFFCC00"/>
      <rgbColor rgb="FFF2A33A"/>
      <rgbColor rgb="FFE4572E"/>
      <rgbColor rgb="FF6B7280"/>
      <rgbColor rgb="FF9CA3AF"/>
      <rgbColor rgb="FF0B2545"/>
      <rgbColor rgb="FF2A9D8F"/>
      <rgbColor rgb="FF003300"/>
      <rgbColor rgb="FF333300"/>
      <rgbColor rgb="FF993300"/>
      <rgbColor rgb="FF993366"/>
      <rgbColor rgb="FF1F3A93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F4E78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78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3D0-4D48-A912-19ABA2311577}"/>
              </c:ext>
            </c:extLst>
          </c:dPt>
          <c:dPt>
            <c:idx val="1"/>
            <c:invertIfNegative val="0"/>
            <c:bubble3D val="0"/>
            <c:spPr>
              <a:solidFill>
                <a:srgbClr val="2A9D8F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3D0-4D48-A912-19ABA2311577}"/>
              </c:ext>
            </c:extLst>
          </c:dPt>
          <c:dPt>
            <c:idx val="2"/>
            <c:invertIfNegative val="0"/>
            <c:bubble3D val="0"/>
            <c:spPr>
              <a:solidFill>
                <a:srgbClr val="F2A33A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3D0-4D48-A912-19ABA2311577}"/>
              </c:ext>
            </c:extLst>
          </c:dPt>
          <c:dPt>
            <c:idx val="3"/>
            <c:invertIfNegative val="0"/>
            <c:bubble3D val="0"/>
            <c:spPr>
              <a:solidFill>
                <a:srgbClr val="E4572E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3D0-4D48-A912-19ABA2311577}"/>
              </c:ext>
            </c:extLst>
          </c:dPt>
          <c:dPt>
            <c:idx val="4"/>
            <c:invertIfNegative val="0"/>
            <c:bubble3D val="0"/>
            <c:spPr>
              <a:solidFill>
                <a:srgbClr val="8E6CC1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F3D0-4D48-A912-19ABA231157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3D0-4D48-A912-19ABA231157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3D0-4D48-A912-19ABA231157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3D0-4D48-A912-19ABA231157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3D0-4D48-A912-19ABA231157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3D0-4D48-A912-19ABA23115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 Coast</c:v>
                </c:pt>
              </c:strCache>
            </c:strRef>
          </c:cat>
          <c:val>
            <c:numRef>
              <c:f>Pivot_Summary!$B$4:$B$8</c:f>
              <c:numCache>
                <c:formatCode>#,##0</c:formatCode>
                <c:ptCount val="5"/>
                <c:pt idx="0">
                  <c:v>1314</c:v>
                </c:pt>
                <c:pt idx="1">
                  <c:v>3467</c:v>
                </c:pt>
                <c:pt idx="2">
                  <c:v>2447</c:v>
                </c:pt>
                <c:pt idx="3">
                  <c:v>1938</c:v>
                </c:pt>
                <c:pt idx="4">
                  <c:v>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D0-4D48-A912-19ABA231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7048575"/>
        <c:axId val="38950095"/>
      </c:barChart>
      <c:catAx>
        <c:axId val="17048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38950095"/>
        <c:crosses val="autoZero"/>
        <c:auto val="1"/>
        <c:lblAlgn val="ctr"/>
        <c:lblOffset val="100"/>
        <c:noMultiLvlLbl val="0"/>
      </c:catAx>
      <c:valAx>
        <c:axId val="3895009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17048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Profit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Profit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8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D8B-437D-81FB-91C39E486E09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D8B-437D-81FB-91C39E486E09}"/>
              </c:ext>
            </c:extLst>
          </c:dPt>
          <c:dPt>
            <c:idx val="2"/>
            <c:bubble3D val="0"/>
            <c:spPr>
              <a:solidFill>
                <a:srgbClr val="F2A33A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D8B-437D-81FB-91C39E486E09}"/>
              </c:ext>
            </c:extLst>
          </c:dPt>
          <c:dPt>
            <c:idx val="3"/>
            <c:bubble3D val="0"/>
            <c:spPr>
              <a:solidFill>
                <a:srgbClr val="E4572E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D8B-437D-81FB-91C39E486E09}"/>
              </c:ext>
            </c:extLst>
          </c:dPt>
          <c:dPt>
            <c:idx val="4"/>
            <c:bubble3D val="0"/>
            <c:spPr>
              <a:solidFill>
                <a:srgbClr val="8E6CC1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DD8B-437D-81FB-91C39E486E0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D8B-437D-81FB-91C39E486E0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D8B-437D-81FB-91C39E486E0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D8B-437D-81FB-91C39E486E0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D8B-437D-81FB-91C39E486E0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D8B-437D-81FB-91C39E486E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Pivot_Summary!$E$4:$E$8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Pivot_Summary!$G$4:$G$8</c:f>
              <c:numCache>
                <c:formatCode>#,##0</c:formatCode>
                <c:ptCount val="5"/>
                <c:pt idx="0">
                  <c:v>299</c:v>
                </c:pt>
                <c:pt idx="1">
                  <c:v>673</c:v>
                </c:pt>
                <c:pt idx="2">
                  <c:v>824</c:v>
                </c:pt>
                <c:pt idx="3">
                  <c:v>1035</c:v>
                </c:pt>
                <c:pt idx="4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8B-437D-81FB-91C39E486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7415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1680">
              <a:solidFill>
                <a:srgbClr val="1F4E78"/>
              </a:solidFill>
              <a:round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F4E78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Pivot_Summary!$A$13:$A$17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Pivot_Summary!$C$13:$C$17</c:f>
              <c:numCache>
                <c:formatCode>#,##0</c:formatCode>
                <c:ptCount val="5"/>
                <c:pt idx="0">
                  <c:v>2880</c:v>
                </c:pt>
                <c:pt idx="1">
                  <c:v>2824</c:v>
                </c:pt>
                <c:pt idx="2">
                  <c:v>2384</c:v>
                </c:pt>
                <c:pt idx="3">
                  <c:v>2602</c:v>
                </c:pt>
                <c:pt idx="4">
                  <c:v>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6-4BB4-AE69-634D031D5001}"/>
            </c:ext>
          </c:extLst>
        </c:ser>
        <c:ser>
          <c:idx val="1"/>
          <c:order val="1"/>
          <c:tx>
            <c:v>Profit</c:v>
          </c:tx>
          <c:spPr>
            <a:ln w="31680">
              <a:solidFill>
                <a:srgbClr val="2A9D8F"/>
              </a:solidFill>
              <a:round/>
            </a:ln>
          </c:spPr>
          <c:marker>
            <c:symbol val="circle"/>
            <c:size val="8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2A9D8F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Pivot_Summary!$A$13:$A$17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Pivot_Summary!$D$13:$D$17</c:f>
              <c:numCache>
                <c:formatCode>#,##0</c:formatCode>
                <c:ptCount val="5"/>
                <c:pt idx="0">
                  <c:v>708</c:v>
                </c:pt>
                <c:pt idx="1">
                  <c:v>702</c:v>
                </c:pt>
                <c:pt idx="2">
                  <c:v>1084</c:v>
                </c:pt>
                <c:pt idx="3">
                  <c:v>996</c:v>
                </c:pt>
                <c:pt idx="4">
                  <c:v>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6-4BB4-AE69-634D031D5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883250"/>
        <c:axId val="39770353"/>
      </c:lineChart>
      <c:catAx>
        <c:axId val="57883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39770353"/>
        <c:crosses val="autoZero"/>
        <c:auto val="1"/>
        <c:lblAlgn val="ctr"/>
        <c:lblOffset val="100"/>
        <c:noMultiLvlLbl val="0"/>
      </c:catAx>
      <c:valAx>
        <c:axId val="3977035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578832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7415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Sales vs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Pivot_Summary!$E$4:$E$8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Pivot_Summary!$F$4:$F$8</c:f>
              <c:numCache>
                <c:formatCode>#,##0</c:formatCode>
                <c:ptCount val="5"/>
                <c:pt idx="0">
                  <c:v>761</c:v>
                </c:pt>
                <c:pt idx="1">
                  <c:v>1918</c:v>
                </c:pt>
                <c:pt idx="2">
                  <c:v>3017</c:v>
                </c:pt>
                <c:pt idx="3">
                  <c:v>3120</c:v>
                </c:pt>
                <c:pt idx="4">
                  <c:v>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F-455E-A2B5-F462C33137D5}"/>
            </c:ext>
          </c:extLst>
        </c:ser>
        <c:ser>
          <c:idx val="1"/>
          <c:order val="1"/>
          <c:tx>
            <c:v>Profit</c:v>
          </c:tx>
          <c:spPr>
            <a:solidFill>
              <a:srgbClr val="F2A3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Pivot_Summary!$E$4:$E$8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Pivot_Summary!$G$4:$G$8</c:f>
              <c:numCache>
                <c:formatCode>#,##0</c:formatCode>
                <c:ptCount val="5"/>
                <c:pt idx="0">
                  <c:v>299</c:v>
                </c:pt>
                <c:pt idx="1">
                  <c:v>673</c:v>
                </c:pt>
                <c:pt idx="2">
                  <c:v>824</c:v>
                </c:pt>
                <c:pt idx="3">
                  <c:v>1035</c:v>
                </c:pt>
                <c:pt idx="4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F-455E-A2B5-F462C331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90705356"/>
        <c:axId val="36036076"/>
      </c:barChart>
      <c:catAx>
        <c:axId val="907053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36036076"/>
        <c:crosses val="autoZero"/>
        <c:auto val="1"/>
        <c:lblAlgn val="ctr"/>
        <c:lblOffset val="100"/>
        <c:noMultiLvlLbl val="0"/>
      </c:catAx>
      <c:valAx>
        <c:axId val="36036076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907053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7415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Sales by Product (selected region &amp;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F4E78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78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880-4803-9CD3-04E9855F25B9}"/>
              </c:ext>
            </c:extLst>
          </c:dPt>
          <c:dPt>
            <c:idx val="1"/>
            <c:invertIfNegative val="0"/>
            <c:bubble3D val="0"/>
            <c:spPr>
              <a:solidFill>
                <a:srgbClr val="2A9D8F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880-4803-9CD3-04E9855F25B9}"/>
              </c:ext>
            </c:extLst>
          </c:dPt>
          <c:dPt>
            <c:idx val="2"/>
            <c:invertIfNegative val="0"/>
            <c:bubble3D val="0"/>
            <c:spPr>
              <a:solidFill>
                <a:srgbClr val="F2A33A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880-4803-9CD3-04E9855F25B9}"/>
              </c:ext>
            </c:extLst>
          </c:dPt>
          <c:dPt>
            <c:idx val="3"/>
            <c:invertIfNegative val="0"/>
            <c:bubble3D val="0"/>
            <c:spPr>
              <a:solidFill>
                <a:srgbClr val="E4572E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880-4803-9CD3-04E9855F25B9}"/>
              </c:ext>
            </c:extLst>
          </c:dPt>
          <c:dPt>
            <c:idx val="4"/>
            <c:invertIfNegative val="0"/>
            <c:bubble3D val="0"/>
            <c:spPr>
              <a:solidFill>
                <a:srgbClr val="8E6CC1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880-4803-9CD3-04E9855F25B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880-4803-9CD3-04E9855F25B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880-4803-9CD3-04E9855F25B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880-4803-9CD3-04E9855F25B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880-4803-9CD3-04E9855F25B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37415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880-4803-9CD3-04E9855F2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Dashboard!$A$51:$A$55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Dashboard!$B$51:$B$55</c:f>
              <c:numCache>
                <c:formatCode>#,##0</c:formatCode>
                <c:ptCount val="5"/>
                <c:pt idx="0">
                  <c:v>761</c:v>
                </c:pt>
                <c:pt idx="1">
                  <c:v>1918</c:v>
                </c:pt>
                <c:pt idx="2">
                  <c:v>3017</c:v>
                </c:pt>
                <c:pt idx="3">
                  <c:v>3120</c:v>
                </c:pt>
                <c:pt idx="4">
                  <c:v>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80-4803-9CD3-04E9855F2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86096186"/>
        <c:axId val="74889438"/>
      </c:barChart>
      <c:catAx>
        <c:axId val="86096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74889438"/>
        <c:crosses val="autoZero"/>
        <c:auto val="1"/>
        <c:lblAlgn val="ctr"/>
        <c:lblOffset val="100"/>
        <c:noMultiLvlLbl val="0"/>
      </c:catAx>
      <c:valAx>
        <c:axId val="7488943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860961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Sales by Region (selected product &amp;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Dashboard!$E$51:$E$55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 Coast</c:v>
                </c:pt>
              </c:strCache>
            </c:strRef>
          </c:cat>
          <c:val>
            <c:numRef>
              <c:f>Dashboard!$F$51:$F$55</c:f>
              <c:numCache>
                <c:formatCode>#,##0</c:formatCode>
                <c:ptCount val="5"/>
                <c:pt idx="0">
                  <c:v>1314</c:v>
                </c:pt>
                <c:pt idx="1">
                  <c:v>3467</c:v>
                </c:pt>
                <c:pt idx="2">
                  <c:v>2447</c:v>
                </c:pt>
                <c:pt idx="3">
                  <c:v>1938</c:v>
                </c:pt>
                <c:pt idx="4">
                  <c:v>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0-4238-85F8-ECFB30012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81527827"/>
        <c:axId val="68961242"/>
      </c:barChart>
      <c:catAx>
        <c:axId val="815278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68961242"/>
        <c:crosses val="autoZero"/>
        <c:auto val="1"/>
        <c:lblAlgn val="ctr"/>
        <c:lblOffset val="100"/>
        <c:noMultiLvlLbl val="0"/>
      </c:catAx>
      <c:valAx>
        <c:axId val="68961242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8152782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Monthly Sales &amp; Profit (selected filters)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1680">
              <a:solidFill>
                <a:srgbClr val="1F4E78"/>
              </a:solidFill>
              <a:round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F4E78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Dashboard!$H$51:$H$55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Dashboard!$J$51:$J$55</c:f>
              <c:numCache>
                <c:formatCode>#,##0</c:formatCode>
                <c:ptCount val="5"/>
                <c:pt idx="0">
                  <c:v>2880</c:v>
                </c:pt>
                <c:pt idx="1">
                  <c:v>2824</c:v>
                </c:pt>
                <c:pt idx="2">
                  <c:v>2384</c:v>
                </c:pt>
                <c:pt idx="3">
                  <c:v>2602</c:v>
                </c:pt>
                <c:pt idx="4">
                  <c:v>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5-4AB7-B4BD-B0714CB73C23}"/>
            </c:ext>
          </c:extLst>
        </c:ser>
        <c:ser>
          <c:idx val="1"/>
          <c:order val="1"/>
          <c:tx>
            <c:v>Profit</c:v>
          </c:tx>
          <c:spPr>
            <a:ln w="31680">
              <a:solidFill>
                <a:srgbClr val="2A9D8F"/>
              </a:solidFill>
              <a:round/>
            </a:ln>
          </c:spPr>
          <c:marker>
            <c:symbol val="circle"/>
            <c:size val="8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2A9D8F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Dashboard!$H$51:$H$55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Dashboard!$K$51:$K$55</c:f>
              <c:numCache>
                <c:formatCode>#,##0</c:formatCode>
                <c:ptCount val="5"/>
                <c:pt idx="0">
                  <c:v>708</c:v>
                </c:pt>
                <c:pt idx="1">
                  <c:v>702</c:v>
                </c:pt>
                <c:pt idx="2">
                  <c:v>1084</c:v>
                </c:pt>
                <c:pt idx="3">
                  <c:v>996</c:v>
                </c:pt>
                <c:pt idx="4">
                  <c:v>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5-4AB7-B4BD-B0714CB7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831950"/>
        <c:axId val="49161319"/>
      </c:lineChart>
      <c:catAx>
        <c:axId val="59831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9CA3A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49161319"/>
        <c:crosses val="autoZero"/>
        <c:auto val="1"/>
        <c:lblAlgn val="ctr"/>
        <c:lblOffset val="100"/>
        <c:noMultiLvlLbl val="0"/>
      </c:catAx>
      <c:valAx>
        <c:axId val="4916131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374151"/>
                </a:solidFill>
                <a:latin typeface="Arial"/>
              </a:defRPr>
            </a:pPr>
            <a:endParaRPr lang="en-US"/>
          </a:p>
        </c:txPr>
        <c:crossAx val="598319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7415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0B2545"/>
                </a:solidFill>
                <a:latin typeface="Arial"/>
              </a:defRPr>
            </a:pPr>
            <a:r>
              <a:rPr lang="en-IN" sz="1300" b="1" strike="noStrike" spc="-1">
                <a:solidFill>
                  <a:srgbClr val="0B2545"/>
                </a:solidFill>
                <a:latin typeface="Arial"/>
              </a:rPr>
              <a:t>Profit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8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68A-41A0-825B-15FB2DECC957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68A-41A0-825B-15FB2DECC957}"/>
              </c:ext>
            </c:extLst>
          </c:dPt>
          <c:dPt>
            <c:idx val="2"/>
            <c:bubble3D val="0"/>
            <c:spPr>
              <a:solidFill>
                <a:srgbClr val="F2A33A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68A-41A0-825B-15FB2DECC957}"/>
              </c:ext>
            </c:extLst>
          </c:dPt>
          <c:dPt>
            <c:idx val="3"/>
            <c:bubble3D val="0"/>
            <c:spPr>
              <a:solidFill>
                <a:srgbClr val="E4572E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68A-41A0-825B-15FB2DECC957}"/>
              </c:ext>
            </c:extLst>
          </c:dPt>
          <c:dPt>
            <c:idx val="4"/>
            <c:bubble3D val="0"/>
            <c:spPr>
              <a:solidFill>
                <a:srgbClr val="8E6CC1"/>
              </a:solidFill>
              <a:ln w="93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68A-41A0-825B-15FB2DECC95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68A-41A0-825B-15FB2DECC95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68A-41A0-825B-15FB2DECC95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68A-41A0-825B-15FB2DECC95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68A-41A0-825B-15FB2DECC95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68A-41A0-825B-15FB2DECC9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Dashboard!$A$51:$A$55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Dashboard!$C$51:$C$55</c:f>
              <c:numCache>
                <c:formatCode>#,##0</c:formatCode>
                <c:ptCount val="5"/>
                <c:pt idx="0">
                  <c:v>299</c:v>
                </c:pt>
                <c:pt idx="1">
                  <c:v>673</c:v>
                </c:pt>
                <c:pt idx="2">
                  <c:v>824</c:v>
                </c:pt>
                <c:pt idx="3">
                  <c:v>1035</c:v>
                </c:pt>
                <c:pt idx="4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8A-41A0-825B-15FB2DEC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37415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0D7E2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707040</xdr:colOff>
      <xdr:row>19</xdr:row>
      <xdr:rowOff>166320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</xdr:row>
      <xdr:rowOff>0</xdr:rowOff>
    </xdr:from>
    <xdr:to>
      <xdr:col>11</xdr:col>
      <xdr:colOff>707040</xdr:colOff>
      <xdr:row>19</xdr:row>
      <xdr:rowOff>166320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707040</xdr:colOff>
      <xdr:row>38</xdr:row>
      <xdr:rowOff>165960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11</xdr:col>
      <xdr:colOff>707040</xdr:colOff>
      <xdr:row>38</xdr:row>
      <xdr:rowOff>165960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707040</xdr:colOff>
      <xdr:row>28</xdr:row>
      <xdr:rowOff>166320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11</xdr:col>
      <xdr:colOff>707040</xdr:colOff>
      <xdr:row>28</xdr:row>
      <xdr:rowOff>166320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5</xdr:col>
      <xdr:colOff>707040</xdr:colOff>
      <xdr:row>46</xdr:row>
      <xdr:rowOff>166320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11</xdr:col>
      <xdr:colOff>707040</xdr:colOff>
      <xdr:row>46</xdr:row>
      <xdr:rowOff>166320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AE9D50-2EB3-4D74-968F-C60700D79FE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d0576d4c-7982-458a-86c8-2396d0ae17c9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J21"/>
  <sheetViews>
    <sheetView zoomScaleNormal="100" workbookViewId="0">
      <pane ySplit="1" topLeftCell="A2" activePane="bottomLeft" state="frozen"/>
      <selection pane="bottomLeft" activeCell="H5" sqref="H5"/>
    </sheetView>
  </sheetViews>
  <sheetFormatPr defaultColWidth="8.7109375" defaultRowHeight="15" x14ac:dyDescent="0.25"/>
  <cols>
    <col min="1" max="1" width="25.140625" customWidth="1"/>
    <col min="2" max="2" width="21.7109375" customWidth="1"/>
    <col min="3" max="3" width="31.7109375" customWidth="1"/>
    <col min="4" max="4" width="23.42578125" customWidth="1"/>
    <col min="5" max="5" width="20.140625" customWidth="1"/>
    <col min="6" max="6" width="17.7109375" customWidth="1"/>
    <col min="7" max="7" width="25.28515625" customWidth="1"/>
  </cols>
  <sheetData>
    <row r="1" spans="1:10" ht="21.7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I1" s="17" t="s">
        <v>70</v>
      </c>
      <c r="J1" s="49" t="s">
        <v>70</v>
      </c>
    </row>
    <row r="2" spans="1:10" x14ac:dyDescent="0.25">
      <c r="A2" s="18">
        <v>1</v>
      </c>
      <c r="B2" s="19" t="s">
        <v>7</v>
      </c>
      <c r="C2" s="19" t="s">
        <v>8</v>
      </c>
      <c r="D2" s="20">
        <v>587</v>
      </c>
      <c r="E2" s="20">
        <v>21</v>
      </c>
      <c r="F2" s="18">
        <v>2022</v>
      </c>
      <c r="G2" s="21">
        <v>44562</v>
      </c>
      <c r="I2" s="22" t="s">
        <v>70</v>
      </c>
    </row>
    <row r="3" spans="1:10" x14ac:dyDescent="0.25">
      <c r="A3" s="23">
        <v>2</v>
      </c>
      <c r="B3" s="24" t="s">
        <v>9</v>
      </c>
      <c r="C3" s="24" t="s">
        <v>10</v>
      </c>
      <c r="D3" s="25">
        <v>800</v>
      </c>
      <c r="E3" s="25">
        <v>73</v>
      </c>
      <c r="F3" s="23">
        <v>2022</v>
      </c>
      <c r="G3" s="26">
        <v>44569</v>
      </c>
      <c r="I3" s="22" t="s">
        <v>70</v>
      </c>
    </row>
    <row r="4" spans="1:10" x14ac:dyDescent="0.25">
      <c r="A4" s="18">
        <v>3</v>
      </c>
      <c r="B4" s="19" t="s">
        <v>11</v>
      </c>
      <c r="C4" s="19" t="s">
        <v>12</v>
      </c>
      <c r="D4" s="20">
        <v>515</v>
      </c>
      <c r="E4" s="20">
        <v>125</v>
      </c>
      <c r="F4" s="18">
        <v>2022</v>
      </c>
      <c r="G4" s="21">
        <v>44576</v>
      </c>
    </row>
    <row r="5" spans="1:10" x14ac:dyDescent="0.25">
      <c r="A5" s="23">
        <v>4</v>
      </c>
      <c r="B5" s="24" t="s">
        <v>9</v>
      </c>
      <c r="C5" s="24" t="s">
        <v>13</v>
      </c>
      <c r="D5" s="25"/>
      <c r="E5" s="25">
        <v>279</v>
      </c>
      <c r="F5" s="23">
        <v>2024</v>
      </c>
      <c r="G5" s="26">
        <v>44583</v>
      </c>
    </row>
    <row r="6" spans="1:10" x14ac:dyDescent="0.25">
      <c r="A6" s="18">
        <v>5</v>
      </c>
      <c r="B6" s="19" t="s">
        <v>9</v>
      </c>
      <c r="C6" s="19" t="s">
        <v>13</v>
      </c>
      <c r="D6" s="20">
        <v>441</v>
      </c>
      <c r="E6" s="20">
        <v>210</v>
      </c>
      <c r="F6" s="18">
        <v>2022</v>
      </c>
      <c r="G6" s="21">
        <v>44590</v>
      </c>
    </row>
    <row r="7" spans="1:10" x14ac:dyDescent="0.25">
      <c r="A7" s="23">
        <v>6</v>
      </c>
      <c r="B7" s="24" t="s">
        <v>14</v>
      </c>
      <c r="C7" s="24" t="s">
        <v>15</v>
      </c>
      <c r="D7" s="25">
        <v>976</v>
      </c>
      <c r="E7" s="25">
        <v>237</v>
      </c>
      <c r="F7" s="23">
        <v>2022</v>
      </c>
      <c r="G7" s="26">
        <v>44597</v>
      </c>
    </row>
    <row r="8" spans="1:10" x14ac:dyDescent="0.25">
      <c r="A8" s="18">
        <v>7</v>
      </c>
      <c r="B8" s="19" t="s">
        <v>11</v>
      </c>
      <c r="C8" s="19" t="s">
        <v>15</v>
      </c>
      <c r="D8" s="20">
        <v>545</v>
      </c>
      <c r="E8" s="20">
        <v>63</v>
      </c>
      <c r="F8" s="18">
        <v>2022</v>
      </c>
      <c r="G8" s="21">
        <v>44604</v>
      </c>
    </row>
    <row r="9" spans="1:10" x14ac:dyDescent="0.25">
      <c r="A9" s="23">
        <v>8</v>
      </c>
      <c r="B9" s="24" t="s">
        <v>11</v>
      </c>
      <c r="C9" s="24" t="s">
        <v>8</v>
      </c>
      <c r="D9" s="25">
        <v>764</v>
      </c>
      <c r="E9" s="25">
        <v>181</v>
      </c>
      <c r="F9" s="23">
        <v>2024</v>
      </c>
      <c r="G9" s="26">
        <v>44611</v>
      </c>
    </row>
    <row r="10" spans="1:10" x14ac:dyDescent="0.25">
      <c r="A10" s="18">
        <v>9</v>
      </c>
      <c r="B10" s="19" t="s">
        <v>11</v>
      </c>
      <c r="C10" s="19" t="s">
        <v>12</v>
      </c>
      <c r="D10" s="20">
        <v>539</v>
      </c>
      <c r="E10" s="20">
        <v>221</v>
      </c>
      <c r="F10" s="18">
        <v>2022</v>
      </c>
      <c r="G10" s="21">
        <v>44618</v>
      </c>
    </row>
    <row r="11" spans="1:10" x14ac:dyDescent="0.25">
      <c r="A11" s="23">
        <v>10</v>
      </c>
      <c r="B11" s="24" t="s">
        <v>9</v>
      </c>
      <c r="C11" s="24" t="s">
        <v>12</v>
      </c>
      <c r="D11" s="25"/>
      <c r="E11" s="25">
        <v>289</v>
      </c>
      <c r="F11" s="23">
        <v>2022</v>
      </c>
      <c r="G11" s="26">
        <v>44625</v>
      </c>
    </row>
    <row r="12" spans="1:10" x14ac:dyDescent="0.25">
      <c r="A12" s="18">
        <v>11</v>
      </c>
      <c r="B12" s="19" t="s">
        <v>7</v>
      </c>
      <c r="C12" s="19" t="s">
        <v>15</v>
      </c>
      <c r="D12" s="20">
        <v>566</v>
      </c>
      <c r="E12" s="20">
        <v>290</v>
      </c>
      <c r="F12" s="18">
        <v>2024</v>
      </c>
      <c r="G12" s="21">
        <v>44632</v>
      </c>
    </row>
    <row r="13" spans="1:10" x14ac:dyDescent="0.25">
      <c r="A13" s="23">
        <v>12</v>
      </c>
      <c r="B13" s="24" t="s">
        <v>11</v>
      </c>
      <c r="C13" s="24" t="s">
        <v>12</v>
      </c>
      <c r="D13" s="25">
        <v>654</v>
      </c>
      <c r="E13" s="25">
        <v>234</v>
      </c>
      <c r="F13" s="23">
        <v>2024</v>
      </c>
      <c r="G13" s="26">
        <v>44639</v>
      </c>
    </row>
    <row r="14" spans="1:10" x14ac:dyDescent="0.25">
      <c r="A14" s="18">
        <v>13</v>
      </c>
      <c r="B14" s="19" t="s">
        <v>9</v>
      </c>
      <c r="C14" s="19" t="s">
        <v>12</v>
      </c>
      <c r="D14" s="20">
        <v>627</v>
      </c>
      <c r="E14" s="20">
        <v>271</v>
      </c>
      <c r="F14" s="18">
        <v>2024</v>
      </c>
      <c r="G14" s="21">
        <v>44646</v>
      </c>
    </row>
    <row r="15" spans="1:10" x14ac:dyDescent="0.25">
      <c r="A15" s="23">
        <v>14</v>
      </c>
      <c r="B15" s="24" t="s">
        <v>14</v>
      </c>
      <c r="C15" s="24" t="s">
        <v>13</v>
      </c>
      <c r="D15" s="25">
        <v>708</v>
      </c>
      <c r="E15" s="25">
        <v>209</v>
      </c>
      <c r="F15" s="23">
        <v>2022</v>
      </c>
      <c r="G15" s="26">
        <v>44653</v>
      </c>
    </row>
    <row r="16" spans="1:10" x14ac:dyDescent="0.25">
      <c r="A16" s="18">
        <v>15</v>
      </c>
      <c r="B16" s="19" t="s">
        <v>7</v>
      </c>
      <c r="C16" s="19" t="s">
        <v>15</v>
      </c>
      <c r="D16" s="20">
        <v>975</v>
      </c>
      <c r="E16" s="20">
        <v>232</v>
      </c>
      <c r="F16" s="18">
        <v>2024</v>
      </c>
      <c r="G16" s="21">
        <v>44660</v>
      </c>
    </row>
    <row r="17" spans="1:7" x14ac:dyDescent="0.25">
      <c r="A17" s="23">
        <v>16</v>
      </c>
      <c r="B17" s="24" t="s">
        <v>14</v>
      </c>
      <c r="C17" s="24" t="s">
        <v>10</v>
      </c>
      <c r="D17" s="25">
        <v>234</v>
      </c>
      <c r="E17" s="25">
        <v>227</v>
      </c>
      <c r="F17" s="23">
        <v>2024</v>
      </c>
      <c r="G17" s="26">
        <v>44667</v>
      </c>
    </row>
    <row r="18" spans="1:7" x14ac:dyDescent="0.25">
      <c r="A18" s="18">
        <v>17</v>
      </c>
      <c r="B18" s="19" t="s">
        <v>7</v>
      </c>
      <c r="C18" s="19" t="s">
        <v>15</v>
      </c>
      <c r="D18" s="20">
        <v>405</v>
      </c>
      <c r="E18" s="20">
        <v>256</v>
      </c>
      <c r="F18" s="18">
        <v>2022</v>
      </c>
      <c r="G18" s="21">
        <v>44674</v>
      </c>
    </row>
    <row r="19" spans="1:7" x14ac:dyDescent="0.25">
      <c r="A19" s="23">
        <v>18</v>
      </c>
      <c r="B19" s="24" t="s">
        <v>9</v>
      </c>
      <c r="C19" s="24" t="s">
        <v>10</v>
      </c>
      <c r="D19" s="25">
        <v>280</v>
      </c>
      <c r="E19" s="25">
        <v>72</v>
      </c>
      <c r="F19" s="23">
        <v>2024</v>
      </c>
      <c r="G19" s="26">
        <v>44681</v>
      </c>
    </row>
    <row r="20" spans="1:7" x14ac:dyDescent="0.25">
      <c r="A20" s="18">
        <v>19</v>
      </c>
      <c r="B20" s="19" t="s">
        <v>16</v>
      </c>
      <c r="C20" s="19" t="s">
        <v>13</v>
      </c>
      <c r="D20" s="20">
        <v>761</v>
      </c>
      <c r="E20" s="20">
        <v>299</v>
      </c>
      <c r="F20" s="18">
        <v>2022</v>
      </c>
      <c r="G20" s="21">
        <v>44688</v>
      </c>
    </row>
    <row r="21" spans="1:7" x14ac:dyDescent="0.25">
      <c r="A21" s="23">
        <v>20</v>
      </c>
      <c r="B21" s="24" t="s">
        <v>7</v>
      </c>
      <c r="C21" s="24" t="s">
        <v>8</v>
      </c>
      <c r="D21" s="25">
        <v>587</v>
      </c>
      <c r="E21" s="25">
        <v>236</v>
      </c>
      <c r="F21" s="23">
        <v>2023</v>
      </c>
      <c r="G21" s="26">
        <v>44695</v>
      </c>
    </row>
  </sheetData>
  <autoFilter ref="A1:G2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Q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1" customWidth="1"/>
    <col min="3" max="3" width="12" customWidth="1"/>
    <col min="4" max="4" width="11" customWidth="1"/>
    <col min="5" max="5" width="9" customWidth="1"/>
    <col min="6" max="6" width="11" customWidth="1"/>
    <col min="7" max="7" width="12" customWidth="1"/>
    <col min="8" max="8" width="10" customWidth="1"/>
    <col min="9" max="9" width="9" customWidth="1"/>
    <col min="10" max="10" width="8" customWidth="1"/>
    <col min="11" max="11" width="12" customWidth="1"/>
    <col min="12" max="13" width="13" customWidth="1"/>
    <col min="14" max="14" width="18" customWidth="1"/>
    <col min="15" max="15" width="12" customWidth="1"/>
    <col min="16" max="16" width="20" customWidth="1"/>
    <col min="17" max="17" width="11" customWidth="1"/>
  </cols>
  <sheetData>
    <row r="1" spans="1:17" ht="45" customHeight="1" x14ac:dyDescent="0.25">
      <c r="A1" s="27" t="s">
        <v>0</v>
      </c>
      <c r="B1" s="27" t="s">
        <v>1</v>
      </c>
      <c r="C1" s="27" t="s">
        <v>2</v>
      </c>
      <c r="D1" s="27" t="s">
        <v>17</v>
      </c>
      <c r="E1" s="27" t="s">
        <v>4</v>
      </c>
      <c r="F1" s="27" t="s">
        <v>18</v>
      </c>
      <c r="G1" s="27" t="s">
        <v>6</v>
      </c>
      <c r="H1" s="27" t="s">
        <v>19</v>
      </c>
      <c r="I1" s="27" t="s">
        <v>20</v>
      </c>
      <c r="J1" s="27" t="s">
        <v>21</v>
      </c>
      <c r="K1" s="27" t="s">
        <v>22</v>
      </c>
      <c r="L1" s="27" t="s">
        <v>23</v>
      </c>
      <c r="M1" s="27" t="s">
        <v>24</v>
      </c>
      <c r="N1" s="27" t="s">
        <v>25</v>
      </c>
      <c r="O1" s="27" t="s">
        <v>26</v>
      </c>
      <c r="P1" s="27" t="s">
        <v>27</v>
      </c>
      <c r="Q1" s="27" t="s">
        <v>28</v>
      </c>
    </row>
    <row r="2" spans="1:17" ht="15" customHeight="1" x14ac:dyDescent="0.25">
      <c r="A2" s="28">
        <v>1</v>
      </c>
      <c r="B2" s="28" t="s">
        <v>7</v>
      </c>
      <c r="C2" s="28" t="s">
        <v>8</v>
      </c>
      <c r="D2" s="29">
        <v>587</v>
      </c>
      <c r="E2" s="29">
        <v>21</v>
      </c>
      <c r="F2" s="28">
        <v>2022</v>
      </c>
      <c r="G2" s="30">
        <v>44562</v>
      </c>
      <c r="H2" s="31">
        <f t="shared" ref="H2:H21" si="0">YEAR(G2)</f>
        <v>2022</v>
      </c>
      <c r="I2" s="31">
        <f t="shared" ref="I2:I21" si="1">MONTH(G2)</f>
        <v>1</v>
      </c>
      <c r="J2" s="31" t="str">
        <f t="shared" ref="J2:J21" si="2">TEXT(G2,"mmm")</f>
        <v>Jan</v>
      </c>
      <c r="K2" s="32">
        <f t="shared" ref="K2:K21" si="3">IF(D2="",ROUND(AVERAGEIFS($D$2:$D$21,$B$2:$B$21,B2),0),D2)</f>
        <v>587</v>
      </c>
      <c r="L2" s="32">
        <f>VLOOKUP(B2,Lookups!$A$3:$B$7,2,FALSE())</f>
        <v>550</v>
      </c>
      <c r="M2" s="31" t="str">
        <f t="shared" ref="M2:M21" si="4">IF(K2&gt;=600,"High","Low")</f>
        <v>Low</v>
      </c>
      <c r="N2" s="31" t="str">
        <f t="shared" ref="N2:N21" si="5">IF(D2="","Missing (Filled)",IF(K2&gt;=800,"Excellent",IF(K2&gt;=500,"Good","Poor")))</f>
        <v>Good</v>
      </c>
      <c r="O2" s="33">
        <f t="shared" ref="O2:O21" si="6">IFERROR(E2/K2,0)</f>
        <v>3.5775127768313458E-2</v>
      </c>
      <c r="P2" s="31" t="str">
        <f>INDEX(Lookups!$E$3:$E$7,MATCH(C2,Lookups!$D$3:$D$7,0))</f>
        <v>Manager S</v>
      </c>
      <c r="Q2" s="31" t="str">
        <f t="shared" ref="Q2:Q21" si="7">IF(K2&gt;=L2,"Yes","No")</f>
        <v>Yes</v>
      </c>
    </row>
    <row r="3" spans="1:17" ht="15" customHeight="1" x14ac:dyDescent="0.25">
      <c r="A3" s="28">
        <v>2</v>
      </c>
      <c r="B3" s="28" t="s">
        <v>9</v>
      </c>
      <c r="C3" s="28" t="s">
        <v>10</v>
      </c>
      <c r="D3" s="29">
        <v>800</v>
      </c>
      <c r="E3" s="29">
        <v>73</v>
      </c>
      <c r="F3" s="28">
        <v>2022</v>
      </c>
      <c r="G3" s="30">
        <v>44569</v>
      </c>
      <c r="H3" s="31">
        <f t="shared" si="0"/>
        <v>2022</v>
      </c>
      <c r="I3" s="31">
        <f t="shared" si="1"/>
        <v>1</v>
      </c>
      <c r="J3" s="31" t="str">
        <f t="shared" si="2"/>
        <v>Jan</v>
      </c>
      <c r="K3" s="32">
        <f t="shared" si="3"/>
        <v>800</v>
      </c>
      <c r="L3" s="32">
        <f>VLOOKUP(B3,Lookups!$A$3:$B$7,2,FALSE())</f>
        <v>500</v>
      </c>
      <c r="M3" s="31" t="str">
        <f t="shared" si="4"/>
        <v>High</v>
      </c>
      <c r="N3" s="31" t="str">
        <f t="shared" si="5"/>
        <v>Excellent</v>
      </c>
      <c r="O3" s="33">
        <f t="shared" si="6"/>
        <v>9.1249999999999998E-2</v>
      </c>
      <c r="P3" s="31" t="str">
        <f>INDEX(Lookups!$E$3:$E$7,MATCH(C3,Lookups!$D$3:$D$7,0))</f>
        <v>Manager C</v>
      </c>
      <c r="Q3" s="31" t="str">
        <f t="shared" si="7"/>
        <v>Yes</v>
      </c>
    </row>
    <row r="4" spans="1:17" ht="15" customHeight="1" x14ac:dyDescent="0.25">
      <c r="A4" s="28">
        <v>3</v>
      </c>
      <c r="B4" s="28" t="s">
        <v>11</v>
      </c>
      <c r="C4" s="28" t="s">
        <v>12</v>
      </c>
      <c r="D4" s="29">
        <v>515</v>
      </c>
      <c r="E4" s="29">
        <v>125</v>
      </c>
      <c r="F4" s="28">
        <v>2022</v>
      </c>
      <c r="G4" s="30">
        <v>44576</v>
      </c>
      <c r="H4" s="31">
        <f t="shared" si="0"/>
        <v>2022</v>
      </c>
      <c r="I4" s="31">
        <f t="shared" si="1"/>
        <v>1</v>
      </c>
      <c r="J4" s="31" t="str">
        <f t="shared" si="2"/>
        <v>Jan</v>
      </c>
      <c r="K4" s="32">
        <f t="shared" si="3"/>
        <v>515</v>
      </c>
      <c r="L4" s="32">
        <f>VLOOKUP(B4,Lookups!$A$3:$B$7,2,FALSE())</f>
        <v>600</v>
      </c>
      <c r="M4" s="31" t="str">
        <f t="shared" si="4"/>
        <v>Low</v>
      </c>
      <c r="N4" s="31" t="str">
        <f t="shared" si="5"/>
        <v>Good</v>
      </c>
      <c r="O4" s="33">
        <f t="shared" si="6"/>
        <v>0.24271844660194175</v>
      </c>
      <c r="P4" s="31" t="str">
        <f>INDEX(Lookups!$E$3:$E$7,MATCH(C4,Lookups!$D$3:$D$7,0))</f>
        <v>Manager W</v>
      </c>
      <c r="Q4" s="31" t="str">
        <f t="shared" si="7"/>
        <v>No</v>
      </c>
    </row>
    <row r="5" spans="1:17" ht="15" customHeight="1" x14ac:dyDescent="0.25">
      <c r="A5" s="28">
        <v>4</v>
      </c>
      <c r="B5" s="28" t="s">
        <v>9</v>
      </c>
      <c r="C5" s="28" t="s">
        <v>13</v>
      </c>
      <c r="D5" s="29"/>
      <c r="E5" s="29">
        <v>279</v>
      </c>
      <c r="F5" s="28">
        <v>2024</v>
      </c>
      <c r="G5" s="30">
        <v>44583</v>
      </c>
      <c r="H5" s="31">
        <f t="shared" si="0"/>
        <v>2022</v>
      </c>
      <c r="I5" s="31">
        <f t="shared" si="1"/>
        <v>1</v>
      </c>
      <c r="J5" s="31" t="str">
        <f t="shared" si="2"/>
        <v>Jan</v>
      </c>
      <c r="K5" s="32">
        <f t="shared" si="3"/>
        <v>537</v>
      </c>
      <c r="L5" s="32">
        <f>VLOOKUP(B5,Lookups!$A$3:$B$7,2,FALSE())</f>
        <v>500</v>
      </c>
      <c r="M5" s="31" t="str">
        <f t="shared" si="4"/>
        <v>Low</v>
      </c>
      <c r="N5" s="31" t="str">
        <f t="shared" si="5"/>
        <v>Missing (Filled)</v>
      </c>
      <c r="O5" s="33">
        <f t="shared" si="6"/>
        <v>0.51955307262569828</v>
      </c>
      <c r="P5" s="31" t="str">
        <f>INDEX(Lookups!$E$3:$E$7,MATCH(C5,Lookups!$D$3:$D$7,0))</f>
        <v>Manager N</v>
      </c>
      <c r="Q5" s="31" t="str">
        <f t="shared" si="7"/>
        <v>Yes</v>
      </c>
    </row>
    <row r="6" spans="1:17" ht="15" customHeight="1" x14ac:dyDescent="0.25">
      <c r="A6" s="28">
        <v>5</v>
      </c>
      <c r="B6" s="28" t="s">
        <v>9</v>
      </c>
      <c r="C6" s="28" t="s">
        <v>13</v>
      </c>
      <c r="D6" s="29">
        <v>441</v>
      </c>
      <c r="E6" s="29">
        <v>210</v>
      </c>
      <c r="F6" s="28">
        <v>2022</v>
      </c>
      <c r="G6" s="30">
        <v>44590</v>
      </c>
      <c r="H6" s="31">
        <f t="shared" si="0"/>
        <v>2022</v>
      </c>
      <c r="I6" s="31">
        <f t="shared" si="1"/>
        <v>1</v>
      </c>
      <c r="J6" s="31" t="str">
        <f t="shared" si="2"/>
        <v>Jan</v>
      </c>
      <c r="K6" s="32">
        <f t="shared" si="3"/>
        <v>441</v>
      </c>
      <c r="L6" s="32">
        <f>VLOOKUP(B6,Lookups!$A$3:$B$7,2,FALSE())</f>
        <v>500</v>
      </c>
      <c r="M6" s="31" t="str">
        <f t="shared" si="4"/>
        <v>Low</v>
      </c>
      <c r="N6" s="31" t="str">
        <f t="shared" si="5"/>
        <v>Poor</v>
      </c>
      <c r="O6" s="33">
        <f t="shared" si="6"/>
        <v>0.47619047619047616</v>
      </c>
      <c r="P6" s="31" t="str">
        <f>INDEX(Lookups!$E$3:$E$7,MATCH(C6,Lookups!$D$3:$D$7,0))</f>
        <v>Manager N</v>
      </c>
      <c r="Q6" s="31" t="str">
        <f t="shared" si="7"/>
        <v>No</v>
      </c>
    </row>
    <row r="7" spans="1:17" ht="15" customHeight="1" x14ac:dyDescent="0.25">
      <c r="A7" s="28">
        <v>6</v>
      </c>
      <c r="B7" s="28" t="s">
        <v>14</v>
      </c>
      <c r="C7" s="28" t="s">
        <v>15</v>
      </c>
      <c r="D7" s="29">
        <v>976</v>
      </c>
      <c r="E7" s="29">
        <v>237</v>
      </c>
      <c r="F7" s="28">
        <v>2022</v>
      </c>
      <c r="G7" s="30">
        <v>44597</v>
      </c>
      <c r="H7" s="31">
        <f t="shared" si="0"/>
        <v>2022</v>
      </c>
      <c r="I7" s="31">
        <f t="shared" si="1"/>
        <v>2</v>
      </c>
      <c r="J7" s="31" t="str">
        <f t="shared" si="2"/>
        <v>Feb</v>
      </c>
      <c r="K7" s="32">
        <f t="shared" si="3"/>
        <v>976</v>
      </c>
      <c r="L7" s="32">
        <f>VLOOKUP(B7,Lookups!$A$3:$B$7,2,FALSE())</f>
        <v>650</v>
      </c>
      <c r="M7" s="31" t="str">
        <f t="shared" si="4"/>
        <v>High</v>
      </c>
      <c r="N7" s="31" t="str">
        <f t="shared" si="5"/>
        <v>Excellent</v>
      </c>
      <c r="O7" s="33">
        <f t="shared" si="6"/>
        <v>0.24282786885245902</v>
      </c>
      <c r="P7" s="31" t="str">
        <f>INDEX(Lookups!$E$3:$E$7,MATCH(C7,Lookups!$D$3:$D$7,0))</f>
        <v>Manager E</v>
      </c>
      <c r="Q7" s="31" t="str">
        <f t="shared" si="7"/>
        <v>Yes</v>
      </c>
    </row>
    <row r="8" spans="1:17" ht="15" customHeight="1" x14ac:dyDescent="0.25">
      <c r="A8" s="28">
        <v>7</v>
      </c>
      <c r="B8" s="28" t="s">
        <v>11</v>
      </c>
      <c r="C8" s="28" t="s">
        <v>15</v>
      </c>
      <c r="D8" s="29">
        <v>545</v>
      </c>
      <c r="E8" s="29">
        <v>63</v>
      </c>
      <c r="F8" s="28">
        <v>2022</v>
      </c>
      <c r="G8" s="30">
        <v>44604</v>
      </c>
      <c r="H8" s="31">
        <f t="shared" si="0"/>
        <v>2022</v>
      </c>
      <c r="I8" s="31">
        <f t="shared" si="1"/>
        <v>2</v>
      </c>
      <c r="J8" s="31" t="str">
        <f t="shared" si="2"/>
        <v>Feb</v>
      </c>
      <c r="K8" s="32">
        <f t="shared" si="3"/>
        <v>545</v>
      </c>
      <c r="L8" s="32">
        <f>VLOOKUP(B8,Lookups!$A$3:$B$7,2,FALSE())</f>
        <v>600</v>
      </c>
      <c r="M8" s="31" t="str">
        <f t="shared" si="4"/>
        <v>Low</v>
      </c>
      <c r="N8" s="31" t="str">
        <f t="shared" si="5"/>
        <v>Good</v>
      </c>
      <c r="O8" s="33">
        <f t="shared" si="6"/>
        <v>0.11559633027522936</v>
      </c>
      <c r="P8" s="31" t="str">
        <f>INDEX(Lookups!$E$3:$E$7,MATCH(C8,Lookups!$D$3:$D$7,0))</f>
        <v>Manager E</v>
      </c>
      <c r="Q8" s="31" t="str">
        <f t="shared" si="7"/>
        <v>No</v>
      </c>
    </row>
    <row r="9" spans="1:17" ht="15" customHeight="1" x14ac:dyDescent="0.25">
      <c r="A9" s="28">
        <v>8</v>
      </c>
      <c r="B9" s="28" t="s">
        <v>11</v>
      </c>
      <c r="C9" s="28" t="s">
        <v>8</v>
      </c>
      <c r="D9" s="29">
        <v>764</v>
      </c>
      <c r="E9" s="29">
        <v>181</v>
      </c>
      <c r="F9" s="28">
        <v>2024</v>
      </c>
      <c r="G9" s="30">
        <v>44611</v>
      </c>
      <c r="H9" s="31">
        <f t="shared" si="0"/>
        <v>2022</v>
      </c>
      <c r="I9" s="31">
        <f t="shared" si="1"/>
        <v>2</v>
      </c>
      <c r="J9" s="31" t="str">
        <f t="shared" si="2"/>
        <v>Feb</v>
      </c>
      <c r="K9" s="32">
        <f t="shared" si="3"/>
        <v>764</v>
      </c>
      <c r="L9" s="32">
        <f>VLOOKUP(B9,Lookups!$A$3:$B$7,2,FALSE())</f>
        <v>600</v>
      </c>
      <c r="M9" s="31" t="str">
        <f t="shared" si="4"/>
        <v>High</v>
      </c>
      <c r="N9" s="31" t="str">
        <f t="shared" si="5"/>
        <v>Good</v>
      </c>
      <c r="O9" s="33">
        <f t="shared" si="6"/>
        <v>0.23691099476439789</v>
      </c>
      <c r="P9" s="31" t="str">
        <f>INDEX(Lookups!$E$3:$E$7,MATCH(C9,Lookups!$D$3:$D$7,0))</f>
        <v>Manager S</v>
      </c>
      <c r="Q9" s="31" t="str">
        <f t="shared" si="7"/>
        <v>Yes</v>
      </c>
    </row>
    <row r="10" spans="1:17" ht="15" customHeight="1" x14ac:dyDescent="0.25">
      <c r="A10" s="28">
        <v>9</v>
      </c>
      <c r="B10" s="28" t="s">
        <v>11</v>
      </c>
      <c r="C10" s="28" t="s">
        <v>12</v>
      </c>
      <c r="D10" s="29">
        <v>539</v>
      </c>
      <c r="E10" s="29">
        <v>221</v>
      </c>
      <c r="F10" s="28">
        <v>2022</v>
      </c>
      <c r="G10" s="30">
        <v>44618</v>
      </c>
      <c r="H10" s="31">
        <f t="shared" si="0"/>
        <v>2022</v>
      </c>
      <c r="I10" s="31">
        <f t="shared" si="1"/>
        <v>2</v>
      </c>
      <c r="J10" s="31" t="str">
        <f t="shared" si="2"/>
        <v>Feb</v>
      </c>
      <c r="K10" s="32">
        <f t="shared" si="3"/>
        <v>539</v>
      </c>
      <c r="L10" s="32">
        <f>VLOOKUP(B10,Lookups!$A$3:$B$7,2,FALSE())</f>
        <v>600</v>
      </c>
      <c r="M10" s="31" t="str">
        <f t="shared" si="4"/>
        <v>Low</v>
      </c>
      <c r="N10" s="31" t="str">
        <f t="shared" si="5"/>
        <v>Good</v>
      </c>
      <c r="O10" s="33">
        <f t="shared" si="6"/>
        <v>0.41001855287569572</v>
      </c>
      <c r="P10" s="31" t="str">
        <f>INDEX(Lookups!$E$3:$E$7,MATCH(C10,Lookups!$D$3:$D$7,0))</f>
        <v>Manager W</v>
      </c>
      <c r="Q10" s="31" t="str">
        <f t="shared" si="7"/>
        <v>No</v>
      </c>
    </row>
    <row r="11" spans="1:17" ht="15" customHeight="1" x14ac:dyDescent="0.25">
      <c r="A11" s="28">
        <v>10</v>
      </c>
      <c r="B11" s="28" t="s">
        <v>9</v>
      </c>
      <c r="C11" s="28" t="s">
        <v>12</v>
      </c>
      <c r="D11" s="29"/>
      <c r="E11" s="29">
        <v>289</v>
      </c>
      <c r="F11" s="28">
        <v>2022</v>
      </c>
      <c r="G11" s="30">
        <v>44625</v>
      </c>
      <c r="H11" s="31">
        <f t="shared" si="0"/>
        <v>2022</v>
      </c>
      <c r="I11" s="31">
        <f t="shared" si="1"/>
        <v>3</v>
      </c>
      <c r="J11" s="31" t="str">
        <f t="shared" si="2"/>
        <v>Mar</v>
      </c>
      <c r="K11" s="32">
        <f t="shared" si="3"/>
        <v>537</v>
      </c>
      <c r="L11" s="32">
        <f>VLOOKUP(B11,Lookups!$A$3:$B$7,2,FALSE())</f>
        <v>500</v>
      </c>
      <c r="M11" s="31" t="str">
        <f t="shared" si="4"/>
        <v>Low</v>
      </c>
      <c r="N11" s="31" t="str">
        <f t="shared" si="5"/>
        <v>Missing (Filled)</v>
      </c>
      <c r="O11" s="33">
        <f t="shared" si="6"/>
        <v>0.53817504655493487</v>
      </c>
      <c r="P11" s="31" t="str">
        <f>INDEX(Lookups!$E$3:$E$7,MATCH(C11,Lookups!$D$3:$D$7,0))</f>
        <v>Manager W</v>
      </c>
      <c r="Q11" s="31" t="str">
        <f t="shared" si="7"/>
        <v>Yes</v>
      </c>
    </row>
    <row r="12" spans="1:17" ht="15" customHeight="1" x14ac:dyDescent="0.25">
      <c r="A12" s="28">
        <v>11</v>
      </c>
      <c r="B12" s="28" t="s">
        <v>7</v>
      </c>
      <c r="C12" s="28" t="s">
        <v>15</v>
      </c>
      <c r="D12" s="29">
        <v>566</v>
      </c>
      <c r="E12" s="29">
        <v>290</v>
      </c>
      <c r="F12" s="28">
        <v>2024</v>
      </c>
      <c r="G12" s="30">
        <v>44632</v>
      </c>
      <c r="H12" s="31">
        <f t="shared" si="0"/>
        <v>2022</v>
      </c>
      <c r="I12" s="31">
        <f t="shared" si="1"/>
        <v>3</v>
      </c>
      <c r="J12" s="31" t="str">
        <f t="shared" si="2"/>
        <v>Mar</v>
      </c>
      <c r="K12" s="32">
        <f t="shared" si="3"/>
        <v>566</v>
      </c>
      <c r="L12" s="32">
        <f>VLOOKUP(B12,Lookups!$A$3:$B$7,2,FALSE())</f>
        <v>550</v>
      </c>
      <c r="M12" s="31" t="str">
        <f t="shared" si="4"/>
        <v>Low</v>
      </c>
      <c r="N12" s="31" t="str">
        <f t="shared" si="5"/>
        <v>Good</v>
      </c>
      <c r="O12" s="33">
        <f t="shared" si="6"/>
        <v>0.51236749116607772</v>
      </c>
      <c r="P12" s="31" t="str">
        <f>INDEX(Lookups!$E$3:$E$7,MATCH(C12,Lookups!$D$3:$D$7,0))</f>
        <v>Manager E</v>
      </c>
      <c r="Q12" s="31" t="str">
        <f t="shared" si="7"/>
        <v>Yes</v>
      </c>
    </row>
    <row r="13" spans="1:17" ht="15" customHeight="1" x14ac:dyDescent="0.25">
      <c r="A13" s="28">
        <v>12</v>
      </c>
      <c r="B13" s="28" t="s">
        <v>11</v>
      </c>
      <c r="C13" s="28" t="s">
        <v>12</v>
      </c>
      <c r="D13" s="29">
        <v>654</v>
      </c>
      <c r="E13" s="29">
        <v>234</v>
      </c>
      <c r="F13" s="28">
        <v>2024</v>
      </c>
      <c r="G13" s="30">
        <v>44639</v>
      </c>
      <c r="H13" s="31">
        <f t="shared" si="0"/>
        <v>2022</v>
      </c>
      <c r="I13" s="31">
        <f t="shared" si="1"/>
        <v>3</v>
      </c>
      <c r="J13" s="31" t="str">
        <f t="shared" si="2"/>
        <v>Mar</v>
      </c>
      <c r="K13" s="32">
        <f t="shared" si="3"/>
        <v>654</v>
      </c>
      <c r="L13" s="32">
        <f>VLOOKUP(B13,Lookups!$A$3:$B$7,2,FALSE())</f>
        <v>600</v>
      </c>
      <c r="M13" s="31" t="str">
        <f t="shared" si="4"/>
        <v>High</v>
      </c>
      <c r="N13" s="31" t="str">
        <f t="shared" si="5"/>
        <v>Good</v>
      </c>
      <c r="O13" s="33">
        <f t="shared" si="6"/>
        <v>0.3577981651376147</v>
      </c>
      <c r="P13" s="31" t="str">
        <f>INDEX(Lookups!$E$3:$E$7,MATCH(C13,Lookups!$D$3:$D$7,0))</f>
        <v>Manager W</v>
      </c>
      <c r="Q13" s="31" t="str">
        <f t="shared" si="7"/>
        <v>Yes</v>
      </c>
    </row>
    <row r="14" spans="1:17" ht="15" customHeight="1" x14ac:dyDescent="0.25">
      <c r="A14" s="28">
        <v>13</v>
      </c>
      <c r="B14" s="28" t="s">
        <v>9</v>
      </c>
      <c r="C14" s="28" t="s">
        <v>12</v>
      </c>
      <c r="D14" s="29">
        <v>627</v>
      </c>
      <c r="E14" s="29">
        <v>271</v>
      </c>
      <c r="F14" s="28">
        <v>2024</v>
      </c>
      <c r="G14" s="30">
        <v>44646</v>
      </c>
      <c r="H14" s="31">
        <f t="shared" si="0"/>
        <v>2022</v>
      </c>
      <c r="I14" s="31">
        <f t="shared" si="1"/>
        <v>3</v>
      </c>
      <c r="J14" s="31" t="str">
        <f t="shared" si="2"/>
        <v>Mar</v>
      </c>
      <c r="K14" s="32">
        <f t="shared" si="3"/>
        <v>627</v>
      </c>
      <c r="L14" s="32">
        <f>VLOOKUP(B14,Lookups!$A$3:$B$7,2,FALSE())</f>
        <v>500</v>
      </c>
      <c r="M14" s="31" t="str">
        <f t="shared" si="4"/>
        <v>High</v>
      </c>
      <c r="N14" s="31" t="str">
        <f t="shared" si="5"/>
        <v>Good</v>
      </c>
      <c r="O14" s="33">
        <f t="shared" si="6"/>
        <v>0.43221690590111644</v>
      </c>
      <c r="P14" s="31" t="str">
        <f>INDEX(Lookups!$E$3:$E$7,MATCH(C14,Lookups!$D$3:$D$7,0))</f>
        <v>Manager W</v>
      </c>
      <c r="Q14" s="31" t="str">
        <f t="shared" si="7"/>
        <v>Yes</v>
      </c>
    </row>
    <row r="15" spans="1:17" ht="15" customHeight="1" x14ac:dyDescent="0.25">
      <c r="A15" s="28">
        <v>14</v>
      </c>
      <c r="B15" s="28" t="s">
        <v>14</v>
      </c>
      <c r="C15" s="28" t="s">
        <v>13</v>
      </c>
      <c r="D15" s="29">
        <v>708</v>
      </c>
      <c r="E15" s="29">
        <v>209</v>
      </c>
      <c r="F15" s="28">
        <v>2022</v>
      </c>
      <c r="G15" s="30">
        <v>44653</v>
      </c>
      <c r="H15" s="31">
        <f t="shared" si="0"/>
        <v>2022</v>
      </c>
      <c r="I15" s="31">
        <f t="shared" si="1"/>
        <v>4</v>
      </c>
      <c r="J15" s="31" t="str">
        <f t="shared" si="2"/>
        <v>Apr</v>
      </c>
      <c r="K15" s="32">
        <f t="shared" si="3"/>
        <v>708</v>
      </c>
      <c r="L15" s="32">
        <f>VLOOKUP(B15,Lookups!$A$3:$B$7,2,FALSE())</f>
        <v>650</v>
      </c>
      <c r="M15" s="31" t="str">
        <f t="shared" si="4"/>
        <v>High</v>
      </c>
      <c r="N15" s="31" t="str">
        <f t="shared" si="5"/>
        <v>Good</v>
      </c>
      <c r="O15" s="33">
        <f t="shared" si="6"/>
        <v>0.29519774011299438</v>
      </c>
      <c r="P15" s="31" t="str">
        <f>INDEX(Lookups!$E$3:$E$7,MATCH(C15,Lookups!$D$3:$D$7,0))</f>
        <v>Manager N</v>
      </c>
      <c r="Q15" s="31" t="str">
        <f t="shared" si="7"/>
        <v>Yes</v>
      </c>
    </row>
    <row r="16" spans="1:17" ht="15" customHeight="1" x14ac:dyDescent="0.25">
      <c r="A16" s="28">
        <v>15</v>
      </c>
      <c r="B16" s="28" t="s">
        <v>7</v>
      </c>
      <c r="C16" s="28" t="s">
        <v>15</v>
      </c>
      <c r="D16" s="29">
        <v>975</v>
      </c>
      <c r="E16" s="29">
        <v>232</v>
      </c>
      <c r="F16" s="28">
        <v>2024</v>
      </c>
      <c r="G16" s="30">
        <v>44660</v>
      </c>
      <c r="H16" s="31">
        <f t="shared" si="0"/>
        <v>2022</v>
      </c>
      <c r="I16" s="31">
        <f t="shared" si="1"/>
        <v>4</v>
      </c>
      <c r="J16" s="31" t="str">
        <f t="shared" si="2"/>
        <v>Apr</v>
      </c>
      <c r="K16" s="32">
        <f t="shared" si="3"/>
        <v>975</v>
      </c>
      <c r="L16" s="32">
        <f>VLOOKUP(B16,Lookups!$A$3:$B$7,2,FALSE())</f>
        <v>550</v>
      </c>
      <c r="M16" s="31" t="str">
        <f t="shared" si="4"/>
        <v>High</v>
      </c>
      <c r="N16" s="31" t="str">
        <f t="shared" si="5"/>
        <v>Excellent</v>
      </c>
      <c r="O16" s="33">
        <f t="shared" si="6"/>
        <v>0.23794871794871794</v>
      </c>
      <c r="P16" s="31" t="str">
        <f>INDEX(Lookups!$E$3:$E$7,MATCH(C16,Lookups!$D$3:$D$7,0))</f>
        <v>Manager E</v>
      </c>
      <c r="Q16" s="31" t="str">
        <f t="shared" si="7"/>
        <v>Yes</v>
      </c>
    </row>
    <row r="17" spans="1:17" ht="15" customHeight="1" x14ac:dyDescent="0.25">
      <c r="A17" s="28">
        <v>16</v>
      </c>
      <c r="B17" s="28" t="s">
        <v>14</v>
      </c>
      <c r="C17" s="28" t="s">
        <v>10</v>
      </c>
      <c r="D17" s="29">
        <v>234</v>
      </c>
      <c r="E17" s="29">
        <v>227</v>
      </c>
      <c r="F17" s="28">
        <v>2024</v>
      </c>
      <c r="G17" s="30">
        <v>44667</v>
      </c>
      <c r="H17" s="31">
        <f t="shared" si="0"/>
        <v>2022</v>
      </c>
      <c r="I17" s="31">
        <f t="shared" si="1"/>
        <v>4</v>
      </c>
      <c r="J17" s="31" t="str">
        <f t="shared" si="2"/>
        <v>Apr</v>
      </c>
      <c r="K17" s="32">
        <f t="shared" si="3"/>
        <v>234</v>
      </c>
      <c r="L17" s="32">
        <f>VLOOKUP(B17,Lookups!$A$3:$B$7,2,FALSE())</f>
        <v>650</v>
      </c>
      <c r="M17" s="31" t="str">
        <f t="shared" si="4"/>
        <v>Low</v>
      </c>
      <c r="N17" s="31" t="str">
        <f t="shared" si="5"/>
        <v>Poor</v>
      </c>
      <c r="O17" s="33">
        <f t="shared" si="6"/>
        <v>0.97008547008547008</v>
      </c>
      <c r="P17" s="31" t="str">
        <f>INDEX(Lookups!$E$3:$E$7,MATCH(C17,Lookups!$D$3:$D$7,0))</f>
        <v>Manager C</v>
      </c>
      <c r="Q17" s="31" t="str">
        <f t="shared" si="7"/>
        <v>No</v>
      </c>
    </row>
    <row r="18" spans="1:17" ht="15" customHeight="1" x14ac:dyDescent="0.25">
      <c r="A18" s="28">
        <v>17</v>
      </c>
      <c r="B18" s="28" t="s">
        <v>7</v>
      </c>
      <c r="C18" s="28" t="s">
        <v>15</v>
      </c>
      <c r="D18" s="29">
        <v>405</v>
      </c>
      <c r="E18" s="29">
        <v>256</v>
      </c>
      <c r="F18" s="28">
        <v>2022</v>
      </c>
      <c r="G18" s="30">
        <v>44674</v>
      </c>
      <c r="H18" s="31">
        <f t="shared" si="0"/>
        <v>2022</v>
      </c>
      <c r="I18" s="31">
        <f t="shared" si="1"/>
        <v>4</v>
      </c>
      <c r="J18" s="31" t="str">
        <f t="shared" si="2"/>
        <v>Apr</v>
      </c>
      <c r="K18" s="32">
        <f t="shared" si="3"/>
        <v>405</v>
      </c>
      <c r="L18" s="32">
        <f>VLOOKUP(B18,Lookups!$A$3:$B$7,2,FALSE())</f>
        <v>550</v>
      </c>
      <c r="M18" s="31" t="str">
        <f t="shared" si="4"/>
        <v>Low</v>
      </c>
      <c r="N18" s="31" t="str">
        <f t="shared" si="5"/>
        <v>Poor</v>
      </c>
      <c r="O18" s="33">
        <f t="shared" si="6"/>
        <v>0.63209876543209875</v>
      </c>
      <c r="P18" s="31" t="str">
        <f>INDEX(Lookups!$E$3:$E$7,MATCH(C18,Lookups!$D$3:$D$7,0))</f>
        <v>Manager E</v>
      </c>
      <c r="Q18" s="31" t="str">
        <f t="shared" si="7"/>
        <v>No</v>
      </c>
    </row>
    <row r="19" spans="1:17" ht="15" customHeight="1" x14ac:dyDescent="0.25">
      <c r="A19" s="28">
        <v>18</v>
      </c>
      <c r="B19" s="28" t="s">
        <v>9</v>
      </c>
      <c r="C19" s="28" t="s">
        <v>10</v>
      </c>
      <c r="D19" s="29">
        <v>280</v>
      </c>
      <c r="E19" s="29">
        <v>72</v>
      </c>
      <c r="F19" s="28">
        <v>2024</v>
      </c>
      <c r="G19" s="30">
        <v>44681</v>
      </c>
      <c r="H19" s="31">
        <f t="shared" si="0"/>
        <v>2022</v>
      </c>
      <c r="I19" s="31">
        <f t="shared" si="1"/>
        <v>4</v>
      </c>
      <c r="J19" s="31" t="str">
        <f t="shared" si="2"/>
        <v>Apr</v>
      </c>
      <c r="K19" s="32">
        <f t="shared" si="3"/>
        <v>280</v>
      </c>
      <c r="L19" s="32">
        <f>VLOOKUP(B19,Lookups!$A$3:$B$7,2,FALSE())</f>
        <v>500</v>
      </c>
      <c r="M19" s="31" t="str">
        <f t="shared" si="4"/>
        <v>Low</v>
      </c>
      <c r="N19" s="31" t="str">
        <f t="shared" si="5"/>
        <v>Poor</v>
      </c>
      <c r="O19" s="33">
        <f t="shared" si="6"/>
        <v>0.25714285714285712</v>
      </c>
      <c r="P19" s="31" t="str">
        <f>INDEX(Lookups!$E$3:$E$7,MATCH(C19,Lookups!$D$3:$D$7,0))</f>
        <v>Manager C</v>
      </c>
      <c r="Q19" s="31" t="str">
        <f t="shared" si="7"/>
        <v>No</v>
      </c>
    </row>
    <row r="20" spans="1:17" ht="15" customHeight="1" x14ac:dyDescent="0.25">
      <c r="A20" s="28">
        <v>19</v>
      </c>
      <c r="B20" s="28" t="s">
        <v>16</v>
      </c>
      <c r="C20" s="28" t="s">
        <v>13</v>
      </c>
      <c r="D20" s="29">
        <v>761</v>
      </c>
      <c r="E20" s="29">
        <v>299</v>
      </c>
      <c r="F20" s="28">
        <v>2022</v>
      </c>
      <c r="G20" s="30">
        <v>44688</v>
      </c>
      <c r="H20" s="31">
        <f t="shared" si="0"/>
        <v>2022</v>
      </c>
      <c r="I20" s="31">
        <f t="shared" si="1"/>
        <v>5</v>
      </c>
      <c r="J20" s="31" t="str">
        <f t="shared" si="2"/>
        <v>May</v>
      </c>
      <c r="K20" s="32">
        <f t="shared" si="3"/>
        <v>761</v>
      </c>
      <c r="L20" s="32">
        <f>VLOOKUP(B20,Lookups!$A$3:$B$7,2,FALSE())</f>
        <v>700</v>
      </c>
      <c r="M20" s="31" t="str">
        <f t="shared" si="4"/>
        <v>High</v>
      </c>
      <c r="N20" s="31" t="str">
        <f t="shared" si="5"/>
        <v>Good</v>
      </c>
      <c r="O20" s="33">
        <f t="shared" si="6"/>
        <v>0.39290407358738499</v>
      </c>
      <c r="P20" s="31" t="str">
        <f>INDEX(Lookups!$E$3:$E$7,MATCH(C20,Lookups!$D$3:$D$7,0))</f>
        <v>Manager N</v>
      </c>
      <c r="Q20" s="31" t="str">
        <f t="shared" si="7"/>
        <v>Yes</v>
      </c>
    </row>
    <row r="21" spans="1:17" ht="15" customHeight="1" x14ac:dyDescent="0.25">
      <c r="A21" s="28">
        <v>20</v>
      </c>
      <c r="B21" s="28" t="s">
        <v>7</v>
      </c>
      <c r="C21" s="28" t="s">
        <v>8</v>
      </c>
      <c r="D21" s="29">
        <v>587</v>
      </c>
      <c r="E21" s="29">
        <v>236</v>
      </c>
      <c r="F21" s="28">
        <v>2023</v>
      </c>
      <c r="G21" s="30">
        <v>44695</v>
      </c>
      <c r="H21" s="31">
        <f t="shared" si="0"/>
        <v>2022</v>
      </c>
      <c r="I21" s="31">
        <f t="shared" si="1"/>
        <v>5</v>
      </c>
      <c r="J21" s="31" t="str">
        <f t="shared" si="2"/>
        <v>May</v>
      </c>
      <c r="K21" s="32">
        <f t="shared" si="3"/>
        <v>587</v>
      </c>
      <c r="L21" s="32">
        <f>VLOOKUP(B21,Lookups!$A$3:$B$7,2,FALSE())</f>
        <v>550</v>
      </c>
      <c r="M21" s="31" t="str">
        <f t="shared" si="4"/>
        <v>Low</v>
      </c>
      <c r="N21" s="31" t="str">
        <f t="shared" si="5"/>
        <v>Good</v>
      </c>
      <c r="O21" s="33">
        <f t="shared" si="6"/>
        <v>0.40204429301533218</v>
      </c>
      <c r="P21" s="31" t="str">
        <f>INDEX(Lookups!$E$3:$E$7,MATCH(C21,Lookups!$D$3:$D$7,0))</f>
        <v>Manager S</v>
      </c>
      <c r="Q21" s="31" t="str">
        <f t="shared" si="7"/>
        <v>Yes</v>
      </c>
    </row>
  </sheetData>
  <autoFilter ref="A1:Q21" xr:uid="{00000000-0009-0000-0000-000002000000}"/>
  <conditionalFormatting sqref="E2:E21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{1625A314-FBBD-4C80-85B2-D05946B959F0}</x14:id>
        </ext>
      </extLst>
    </cfRule>
  </conditionalFormatting>
  <conditionalFormatting sqref="H2:H21">
    <cfRule type="expression" dxfId="4" priority="6">
      <formula>H2&lt;&gt;F2</formula>
    </cfRule>
  </conditionalFormatting>
  <conditionalFormatting sqref="K2:K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" priority="3" operator="lessThan">
      <formula>500</formula>
    </cfRule>
  </conditionalFormatting>
  <conditionalFormatting sqref="O2:O21">
    <cfRule type="iconSet" priority="5">
      <iconSet iconSet="3Arrows">
        <cfvo type="num" val="0"/>
        <cfvo type="num" val="0.25"/>
        <cfvo type="num" val="0.5"/>
      </iconSet>
    </cfRule>
  </conditionalFormatting>
  <conditionalFormatting sqref="Q2:Q21">
    <cfRule type="cellIs" dxfId="2" priority="7" operator="equal">
      <formula>"No"</formula>
    </cfRule>
    <cfRule type="cellIs" dxfId="1" priority="8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5A314-FBBD-4C80-85B2-D05946B959F0}">
            <x14:dataBar axisPosition="none">
              <x14:cfvo type="min"/>
              <x14:cfvo type="max"/>
              <x14:negativeFillColor rgb="FF5B9BD5"/>
            </x14:dataBar>
          </x14:cfRule>
          <xm:sqref>E2:E21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H25"/>
  <sheetViews>
    <sheetView zoomScaleNormal="100" workbookViewId="0"/>
  </sheetViews>
  <sheetFormatPr defaultColWidth="8.7109375" defaultRowHeight="15" x14ac:dyDescent="0.25"/>
  <cols>
    <col min="1" max="1" width="14" customWidth="1"/>
    <col min="2" max="4" width="13" customWidth="1"/>
    <col min="5" max="5" width="14" customWidth="1"/>
    <col min="6" max="7" width="13" customWidth="1"/>
  </cols>
  <sheetData>
    <row r="1" spans="1:8" ht="15.75" customHeight="1" x14ac:dyDescent="0.25">
      <c r="A1" s="35" t="s">
        <v>38</v>
      </c>
    </row>
    <row r="3" spans="1:8" ht="15" customHeight="1" x14ac:dyDescent="0.25">
      <c r="A3" s="27" t="s">
        <v>2</v>
      </c>
      <c r="B3" s="27" t="s">
        <v>39</v>
      </c>
      <c r="C3" s="27" t="s">
        <v>40</v>
      </c>
      <c r="E3" s="27" t="s">
        <v>1</v>
      </c>
      <c r="F3" s="27" t="s">
        <v>39</v>
      </c>
      <c r="G3" s="27" t="s">
        <v>40</v>
      </c>
    </row>
    <row r="4" spans="1:8" ht="15" customHeight="1" x14ac:dyDescent="0.25">
      <c r="A4" s="31" t="s">
        <v>10</v>
      </c>
      <c r="B4" s="32">
        <f>SUMIFS(d_Sales,d_Region,A4)</f>
        <v>1314</v>
      </c>
      <c r="C4" s="32">
        <f>SUMIFS(d_Profit,d_Region,A4)</f>
        <v>372</v>
      </c>
      <c r="E4" s="31" t="s">
        <v>16</v>
      </c>
      <c r="F4" s="32">
        <f>SUMIFS(d_Sales,d_Product,E4)</f>
        <v>761</v>
      </c>
      <c r="G4" s="32">
        <f>SUMIFS(d_Profit,d_Product,E4)</f>
        <v>299</v>
      </c>
    </row>
    <row r="5" spans="1:8" ht="15" customHeight="1" x14ac:dyDescent="0.25">
      <c r="A5" s="31" t="s">
        <v>15</v>
      </c>
      <c r="B5" s="32">
        <f>SUMIFS(d_Sales,d_Region,A5)</f>
        <v>3467</v>
      </c>
      <c r="C5" s="32">
        <f>SUMIFS(d_Profit,d_Region,A5)</f>
        <v>1078</v>
      </c>
      <c r="E5" s="31" t="s">
        <v>14</v>
      </c>
      <c r="F5" s="32">
        <f>SUMIFS(d_Sales,d_Product,E5)</f>
        <v>1918</v>
      </c>
      <c r="G5" s="32">
        <f>SUMIFS(d_Profit,d_Product,E5)</f>
        <v>673</v>
      </c>
    </row>
    <row r="6" spans="1:8" ht="15" customHeight="1" x14ac:dyDescent="0.25">
      <c r="A6" s="31" t="s">
        <v>13</v>
      </c>
      <c r="B6" s="32">
        <f>SUMIFS(d_Sales,d_Region,A6)</f>
        <v>2447</v>
      </c>
      <c r="C6" s="32">
        <f>SUMIFS(d_Profit,d_Region,A6)</f>
        <v>997</v>
      </c>
      <c r="E6" s="31" t="s">
        <v>11</v>
      </c>
      <c r="F6" s="32">
        <f>SUMIFS(d_Sales,d_Product,E6)</f>
        <v>3017</v>
      </c>
      <c r="G6" s="32">
        <f>SUMIFS(d_Profit,d_Product,E6)</f>
        <v>824</v>
      </c>
    </row>
    <row r="7" spans="1:8" ht="15" customHeight="1" x14ac:dyDescent="0.25">
      <c r="A7" s="31" t="s">
        <v>8</v>
      </c>
      <c r="B7" s="32">
        <f>SUMIFS(d_Sales,d_Region,A7)</f>
        <v>1938</v>
      </c>
      <c r="C7" s="32">
        <f>SUMIFS(d_Profit,d_Region,A7)</f>
        <v>438</v>
      </c>
      <c r="E7" s="31" t="s">
        <v>7</v>
      </c>
      <c r="F7" s="32">
        <f>SUMIFS(d_Sales,d_Product,E7)</f>
        <v>3120</v>
      </c>
      <c r="G7" s="32">
        <f>SUMIFS(d_Profit,d_Product,E7)</f>
        <v>1035</v>
      </c>
    </row>
    <row r="8" spans="1:8" ht="15" customHeight="1" x14ac:dyDescent="0.25">
      <c r="A8" s="31" t="s">
        <v>12</v>
      </c>
      <c r="B8" s="32">
        <f>SUMIFS(d_Sales,d_Region,A8)</f>
        <v>2872</v>
      </c>
      <c r="C8" s="32">
        <f>SUMIFS(d_Profit,d_Region,A8)</f>
        <v>1140</v>
      </c>
      <c r="E8" s="31" t="s">
        <v>9</v>
      </c>
      <c r="F8" s="32">
        <f>SUMIFS(d_Sales,d_Product,E8)</f>
        <v>3222</v>
      </c>
      <c r="G8" s="32">
        <f>SUMIFS(d_Profit,d_Product,E8)</f>
        <v>1194</v>
      </c>
    </row>
    <row r="9" spans="1:8" ht="15" customHeight="1" x14ac:dyDescent="0.25">
      <c r="A9" s="36" t="s">
        <v>41</v>
      </c>
      <c r="B9" s="36">
        <f>SUM(B4:B8)</f>
        <v>12038</v>
      </c>
      <c r="C9" s="36">
        <f>SUM(C4:C8)</f>
        <v>4025</v>
      </c>
      <c r="E9" s="36" t="s">
        <v>41</v>
      </c>
      <c r="F9" s="36">
        <f>SUM(F4:F8)</f>
        <v>12038</v>
      </c>
      <c r="G9" s="36">
        <f>SUM(G4:G8)</f>
        <v>4025</v>
      </c>
    </row>
    <row r="12" spans="1:8" ht="15" customHeight="1" x14ac:dyDescent="0.25">
      <c r="A12" s="27" t="s">
        <v>21</v>
      </c>
      <c r="B12" s="27" t="s">
        <v>20</v>
      </c>
      <c r="C12" s="27" t="s">
        <v>39</v>
      </c>
      <c r="D12" s="27" t="s">
        <v>40</v>
      </c>
      <c r="F12" s="37"/>
      <c r="G12" s="37"/>
      <c r="H12" s="37"/>
    </row>
    <row r="13" spans="1:8" ht="15" customHeight="1" x14ac:dyDescent="0.25">
      <c r="A13" s="31" t="s">
        <v>42</v>
      </c>
      <c r="B13" s="31">
        <v>1</v>
      </c>
      <c r="C13" s="32">
        <f>SUMIFS(d_Sales,d_Month,B13)</f>
        <v>2880</v>
      </c>
      <c r="D13" s="32">
        <f>SUMIFS(d_Profit,d_Month,B13)</f>
        <v>708</v>
      </c>
    </row>
    <row r="14" spans="1:8" ht="15" customHeight="1" x14ac:dyDescent="0.25">
      <c r="A14" s="31" t="s">
        <v>43</v>
      </c>
      <c r="B14" s="31">
        <v>2</v>
      </c>
      <c r="C14" s="32">
        <f>SUMIFS(d_Sales,d_Month,B14)</f>
        <v>2824</v>
      </c>
      <c r="D14" s="32">
        <f>SUMIFS(d_Profit,d_Month,B14)</f>
        <v>702</v>
      </c>
    </row>
    <row r="15" spans="1:8" ht="15" customHeight="1" x14ac:dyDescent="0.25">
      <c r="A15" s="31" t="s">
        <v>44</v>
      </c>
      <c r="B15" s="31">
        <v>3</v>
      </c>
      <c r="C15" s="32">
        <f>SUMIFS(d_Sales,d_Month,B15)</f>
        <v>2384</v>
      </c>
      <c r="D15" s="32">
        <f>SUMIFS(d_Profit,d_Month,B15)</f>
        <v>1084</v>
      </c>
    </row>
    <row r="16" spans="1:8" ht="15" customHeight="1" x14ac:dyDescent="0.25">
      <c r="A16" s="31" t="s">
        <v>45</v>
      </c>
      <c r="B16" s="31">
        <v>4</v>
      </c>
      <c r="C16" s="32">
        <f>SUMIFS(d_Sales,d_Month,B16)</f>
        <v>2602</v>
      </c>
      <c r="D16" s="32">
        <f>SUMIFS(d_Profit,d_Month,B16)</f>
        <v>996</v>
      </c>
    </row>
    <row r="17" spans="1:6" ht="15" customHeight="1" x14ac:dyDescent="0.25">
      <c r="A17" s="31" t="s">
        <v>46</v>
      </c>
      <c r="B17" s="31">
        <v>5</v>
      </c>
      <c r="C17" s="32">
        <f>SUMIFS(d_Sales,d_Month,B17)</f>
        <v>1348</v>
      </c>
      <c r="D17" s="32">
        <f>SUMIFS(d_Profit,d_Month,B17)</f>
        <v>535</v>
      </c>
    </row>
    <row r="20" spans="1:6" ht="15" customHeight="1" x14ac:dyDescent="0.25">
      <c r="A20" s="27" t="s">
        <v>47</v>
      </c>
      <c r="B20" s="27" t="s">
        <v>16</v>
      </c>
      <c r="C20" s="27" t="s">
        <v>14</v>
      </c>
      <c r="D20" s="27" t="s">
        <v>11</v>
      </c>
      <c r="E20" s="27" t="s">
        <v>7</v>
      </c>
      <c r="F20" s="27" t="s">
        <v>9</v>
      </c>
    </row>
    <row r="21" spans="1:6" ht="15" customHeight="1" x14ac:dyDescent="0.25">
      <c r="A21" s="31" t="s">
        <v>10</v>
      </c>
      <c r="B21" s="32">
        <f t="shared" ref="B21:F25" si="0">SUMIFS(d_Sales,d_Region,$A21,d_Product,B$20)</f>
        <v>0</v>
      </c>
      <c r="C21" s="32">
        <f t="shared" si="0"/>
        <v>234</v>
      </c>
      <c r="D21" s="32">
        <f t="shared" si="0"/>
        <v>0</v>
      </c>
      <c r="E21" s="32">
        <f t="shared" si="0"/>
        <v>0</v>
      </c>
      <c r="F21" s="32">
        <f t="shared" si="0"/>
        <v>1080</v>
      </c>
    </row>
    <row r="22" spans="1:6" ht="15" customHeight="1" x14ac:dyDescent="0.25">
      <c r="A22" s="31" t="s">
        <v>15</v>
      </c>
      <c r="B22" s="32">
        <f t="shared" si="0"/>
        <v>0</v>
      </c>
      <c r="C22" s="32">
        <f t="shared" si="0"/>
        <v>976</v>
      </c>
      <c r="D22" s="32">
        <f t="shared" si="0"/>
        <v>545</v>
      </c>
      <c r="E22" s="32">
        <f t="shared" si="0"/>
        <v>1946</v>
      </c>
      <c r="F22" s="32">
        <f t="shared" si="0"/>
        <v>0</v>
      </c>
    </row>
    <row r="23" spans="1:6" ht="15" customHeight="1" x14ac:dyDescent="0.25">
      <c r="A23" s="31" t="s">
        <v>13</v>
      </c>
      <c r="B23" s="32">
        <f t="shared" si="0"/>
        <v>761</v>
      </c>
      <c r="C23" s="32">
        <f t="shared" si="0"/>
        <v>708</v>
      </c>
      <c r="D23" s="32">
        <f t="shared" si="0"/>
        <v>0</v>
      </c>
      <c r="E23" s="32">
        <f t="shared" si="0"/>
        <v>0</v>
      </c>
      <c r="F23" s="32">
        <f t="shared" si="0"/>
        <v>978</v>
      </c>
    </row>
    <row r="24" spans="1:6" ht="15" customHeight="1" x14ac:dyDescent="0.25">
      <c r="A24" s="31" t="s">
        <v>8</v>
      </c>
      <c r="B24" s="32">
        <f t="shared" si="0"/>
        <v>0</v>
      </c>
      <c r="C24" s="32">
        <f t="shared" si="0"/>
        <v>0</v>
      </c>
      <c r="D24" s="32">
        <f t="shared" si="0"/>
        <v>764</v>
      </c>
      <c r="E24" s="32">
        <f t="shared" si="0"/>
        <v>1174</v>
      </c>
      <c r="F24" s="32">
        <f t="shared" si="0"/>
        <v>0</v>
      </c>
    </row>
    <row r="25" spans="1:6" ht="15" customHeight="1" x14ac:dyDescent="0.25">
      <c r="A25" s="31" t="s">
        <v>12</v>
      </c>
      <c r="B25" s="32">
        <f t="shared" si="0"/>
        <v>0</v>
      </c>
      <c r="C25" s="32">
        <f t="shared" si="0"/>
        <v>0</v>
      </c>
      <c r="D25" s="32">
        <f t="shared" si="0"/>
        <v>1708</v>
      </c>
      <c r="E25" s="32">
        <f t="shared" si="0"/>
        <v>0</v>
      </c>
      <c r="F25" s="32">
        <f t="shared" si="0"/>
        <v>1164</v>
      </c>
    </row>
  </sheetData>
  <conditionalFormatting sqref="B21:F25">
    <cfRule type="colorScale" priority="2">
      <colorScale>
        <cfvo type="min"/>
        <cfvo type="max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E9"/>
  <sheetViews>
    <sheetView zoomScaleNormal="100" workbookViewId="0">
      <selection activeCell="A9" sqref="A9"/>
    </sheetView>
  </sheetViews>
  <sheetFormatPr defaultColWidth="8.7109375" defaultRowHeight="15" x14ac:dyDescent="0.25"/>
  <cols>
    <col min="1" max="2" width="14" customWidth="1"/>
    <col min="3" max="3" width="4" customWidth="1"/>
    <col min="4" max="4" width="14" customWidth="1"/>
    <col min="5" max="5" width="16" customWidth="1"/>
  </cols>
  <sheetData>
    <row r="1" spans="1:5" ht="15" customHeight="1" x14ac:dyDescent="0.25">
      <c r="A1" s="15" t="s">
        <v>29</v>
      </c>
      <c r="D1" s="15" t="s">
        <v>30</v>
      </c>
    </row>
    <row r="2" spans="1:5" ht="15" customHeight="1" x14ac:dyDescent="0.25">
      <c r="A2" s="27" t="s">
        <v>1</v>
      </c>
      <c r="B2" s="27" t="s">
        <v>31</v>
      </c>
      <c r="D2" s="27" t="s">
        <v>2</v>
      </c>
      <c r="E2" s="27" t="s">
        <v>32</v>
      </c>
    </row>
    <row r="3" spans="1:5" ht="15" customHeight="1" x14ac:dyDescent="0.25">
      <c r="A3" s="31" t="s">
        <v>16</v>
      </c>
      <c r="B3" s="29">
        <v>700</v>
      </c>
      <c r="D3" s="31" t="s">
        <v>13</v>
      </c>
      <c r="E3" s="28" t="s">
        <v>33</v>
      </c>
    </row>
    <row r="4" spans="1:5" ht="15" customHeight="1" x14ac:dyDescent="0.25">
      <c r="A4" s="31" t="s">
        <v>14</v>
      </c>
      <c r="B4" s="29">
        <v>650</v>
      </c>
      <c r="D4" s="31" t="s">
        <v>8</v>
      </c>
      <c r="E4" s="28" t="s">
        <v>34</v>
      </c>
    </row>
    <row r="5" spans="1:5" ht="15" customHeight="1" x14ac:dyDescent="0.25">
      <c r="A5" s="31" t="s">
        <v>11</v>
      </c>
      <c r="B5" s="29">
        <v>600</v>
      </c>
      <c r="D5" s="31" t="s">
        <v>15</v>
      </c>
      <c r="E5" s="28" t="s">
        <v>35</v>
      </c>
    </row>
    <row r="6" spans="1:5" ht="15" customHeight="1" x14ac:dyDescent="0.25">
      <c r="A6" s="31" t="s">
        <v>7</v>
      </c>
      <c r="B6" s="29">
        <v>550</v>
      </c>
      <c r="D6" s="31" t="s">
        <v>10</v>
      </c>
      <c r="E6" s="28" t="s">
        <v>36</v>
      </c>
    </row>
    <row r="7" spans="1:5" ht="15" customHeight="1" x14ac:dyDescent="0.25">
      <c r="A7" s="31" t="s">
        <v>9</v>
      </c>
      <c r="B7" s="29">
        <v>500</v>
      </c>
      <c r="D7" s="31" t="s">
        <v>12</v>
      </c>
      <c r="E7" s="28" t="s">
        <v>37</v>
      </c>
    </row>
    <row r="9" spans="1:5" ht="15" customHeight="1" x14ac:dyDescent="0.25">
      <c r="A9" s="34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A9D8F"/>
    <pageSetUpPr fitToPage="1"/>
  </sheetPr>
  <dimension ref="A1:L44"/>
  <sheetViews>
    <sheetView showGridLines="0" tabSelected="1" zoomScale="90" zoomScaleNormal="90" workbookViewId="0">
      <selection sqref="A1:L2"/>
    </sheetView>
  </sheetViews>
  <sheetFormatPr defaultColWidth="8.7109375" defaultRowHeight="15" x14ac:dyDescent="0.25"/>
  <cols>
    <col min="1" max="12" width="12.7109375" customWidth="1"/>
  </cols>
  <sheetData>
    <row r="1" spans="1:12" ht="21.75" customHeight="1" x14ac:dyDescent="0.25">
      <c r="A1" s="14" t="s">
        <v>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8" customHeight="1" x14ac:dyDescent="0.25">
      <c r="A3" s="13" t="s">
        <v>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5">
      <c r="A4" s="38" t="s">
        <v>50</v>
      </c>
      <c r="B4" s="39"/>
      <c r="C4" s="39"/>
      <c r="D4" s="39"/>
      <c r="E4" s="39"/>
      <c r="F4" s="39"/>
      <c r="G4" s="38" t="s">
        <v>51</v>
      </c>
      <c r="H4" s="39"/>
      <c r="I4" s="39"/>
      <c r="J4" s="39"/>
      <c r="K4" s="39"/>
      <c r="L4" s="39"/>
    </row>
    <row r="5" spans="1:12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ht="21.75" customHeight="1" x14ac:dyDescent="0.25">
      <c r="A21" s="12" t="str">
        <f>"Insight: "&amp;INDEX(Pivot_Summary!$A$4:$A$8,MATCH(MAX(Pivot_Summary!$B$4:$B$8),Pivot_Summary!$B$4:$B$8,0))&amp;" is the top region with sales of "&amp;TEXT(MAX(Pivot_Summary!$B$4:$B$8),"#,##0")</f>
        <v>Insight: East is the top region with sales of 3,467</v>
      </c>
      <c r="B21" s="12"/>
      <c r="C21" s="12"/>
      <c r="D21" s="12"/>
      <c r="E21" s="12"/>
      <c r="F21" s="12"/>
      <c r="G21" s="12" t="str">
        <f>"Insight: "&amp;INDEX(Pivot_Summary!$E$4:$E$8,MATCH(MAX(Pivot_Summary!$G$4:$G$8),Pivot_Summary!$G$4:$G$8,0))&amp;" gives the biggest profit share ("&amp;TEXT(MAX(Pivot_Summary!$G$4:$G$8)/Pivot_Summary!$G$9,"0%")&amp;")"</f>
        <v>Insight: Product E gives the biggest profit share (30%)</v>
      </c>
      <c r="H21" s="12"/>
      <c r="I21" s="12"/>
      <c r="J21" s="12"/>
      <c r="K21" s="12"/>
      <c r="L21" s="12"/>
    </row>
    <row r="22" spans="1:12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x14ac:dyDescent="0.25">
      <c r="A23" s="38" t="s">
        <v>52</v>
      </c>
      <c r="B23" s="39"/>
      <c r="C23" s="39"/>
      <c r="D23" s="39"/>
      <c r="E23" s="39"/>
      <c r="F23" s="39"/>
      <c r="G23" s="38" t="s">
        <v>53</v>
      </c>
      <c r="H23" s="39"/>
      <c r="I23" s="39"/>
      <c r="J23" s="39"/>
      <c r="K23" s="39"/>
      <c r="L23" s="39"/>
    </row>
    <row r="24" spans="1:12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2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ht="21.75" customHeight="1" x14ac:dyDescent="0.25">
      <c r="A40" s="12" t="str">
        <f>"Insight: "&amp;INDEX(Pivot_Summary!$A$13:$A$17,MATCH(MAX(Pivot_Summary!$C$13:$C$17),Pivot_Summary!$C$13:$C$17,0))&amp;" is the best month for sales ("&amp;TEXT(MAX(Pivot_Summary!$C$13:$C$17),"#,##0")&amp;")"</f>
        <v>Insight: Jan is the best month for sales (2,880)</v>
      </c>
      <c r="B40" s="12"/>
      <c r="C40" s="12"/>
      <c r="D40" s="12"/>
      <c r="E40" s="12"/>
      <c r="F40" s="12"/>
      <c r="G40" s="12" t="str">
        <f>"Insight: "&amp;INDEX(Pivot_Summary!$E$4:$E$8,MATCH(MAX(Pivot_Summary!$F$4:$F$8),Pivot_Summary!$F$4:$F$8,0))&amp;" is the top product by sales ("&amp;TEXT(MAX(Pivot_Summary!$F$4:$F$8),"#,##0")&amp;")"</f>
        <v>Insight: Product E is the top product by sales (3,222)</v>
      </c>
      <c r="H40" s="12"/>
      <c r="I40" s="12"/>
      <c r="J40" s="12"/>
      <c r="K40" s="12"/>
      <c r="L40" s="12"/>
    </row>
    <row r="41" spans="1:12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spans="1:12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</sheetData>
  <mergeCells count="6">
    <mergeCell ref="A1:L2"/>
    <mergeCell ref="A3:L3"/>
    <mergeCell ref="A21:F21"/>
    <mergeCell ref="G21:L21"/>
    <mergeCell ref="A40:F40"/>
    <mergeCell ref="G40:L40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2545"/>
    <pageSetUpPr fitToPage="1"/>
  </sheetPr>
  <dimension ref="A1:L61"/>
  <sheetViews>
    <sheetView showGridLines="0" topLeftCell="A34" zoomScale="90" zoomScaleNormal="90" workbookViewId="0">
      <selection sqref="A1:L2"/>
    </sheetView>
  </sheetViews>
  <sheetFormatPr defaultColWidth="8.7109375" defaultRowHeight="15" x14ac:dyDescent="0.25"/>
  <cols>
    <col min="1" max="12" width="12.7109375" customWidth="1"/>
  </cols>
  <sheetData>
    <row r="1" spans="1:12" ht="21.75" customHeight="1" x14ac:dyDescent="0.25">
      <c r="A1" s="14" t="s">
        <v>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8" customHeight="1" x14ac:dyDescent="0.25">
      <c r="A3" s="13" t="s">
        <v>55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5">
      <c r="A4" s="40" t="s">
        <v>56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24" customHeight="1" x14ac:dyDescent="0.25">
      <c r="A5" s="41" t="s">
        <v>57</v>
      </c>
      <c r="B5" s="11" t="s">
        <v>58</v>
      </c>
      <c r="C5" s="11"/>
      <c r="D5" s="41" t="s">
        <v>59</v>
      </c>
      <c r="E5" s="11" t="s">
        <v>58</v>
      </c>
      <c r="F5" s="11"/>
      <c r="G5" s="41" t="s">
        <v>60</v>
      </c>
      <c r="H5" s="42">
        <v>1</v>
      </c>
      <c r="I5" s="41" t="s">
        <v>61</v>
      </c>
      <c r="J5" s="42">
        <v>5</v>
      </c>
      <c r="K5" s="10" t="s">
        <v>62</v>
      </c>
      <c r="L5" s="10"/>
    </row>
    <row r="6" spans="1:12" x14ac:dyDescent="0.25">
      <c r="A6" s="9" t="str">
        <f>IF($H$5&gt;$J$5,"WARNING: From Month must be less than or equal to To Month","Showing: "&amp;IF($B$5="All","All regions",$B$5)&amp;"  |  "&amp;IF($E$5="All","All products",$E$5)&amp;"  |  "&amp;INDEX(Pivot_Summary!$A$13:$A$17,$H$5)&amp;" to "&amp;INDEX(Pivot_Summary!$A$13:$A$17,$J$5)&amp;" 2022")</f>
        <v>Showing: All regions  |  All products  |  Jan to May 2022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 ht="19.5" customHeight="1" x14ac:dyDescent="0.25">
      <c r="A8" s="8" t="s">
        <v>63</v>
      </c>
      <c r="B8" s="8"/>
      <c r="C8" s="8"/>
      <c r="D8" s="7" t="s">
        <v>64</v>
      </c>
      <c r="E8" s="7"/>
      <c r="F8" s="7"/>
      <c r="G8" s="6" t="s">
        <v>65</v>
      </c>
      <c r="H8" s="6"/>
      <c r="I8" s="6"/>
      <c r="J8" s="5" t="s">
        <v>66</v>
      </c>
      <c r="K8" s="5"/>
      <c r="L8" s="5"/>
    </row>
    <row r="9" spans="1:12" ht="39.75" customHeight="1" x14ac:dyDescent="0.25">
      <c r="A9" s="4">
        <f>SUMIFS(d_Sales,d_Product,IF($E$5="All","*",$E$5),d_Region,IF($B$5="All","*",$B$5),d_Month,"&gt;="&amp;$H$5,d_Month,"&lt;="&amp;$J$5)</f>
        <v>12038</v>
      </c>
      <c r="B9" s="4"/>
      <c r="C9" s="4"/>
      <c r="D9" s="3">
        <f>SUMIFS(d_Profit,d_Product,IF($E$5="All","*",$E$5),d_Region,IF($B$5="All","*",$B$5),d_Month,"&gt;="&amp;$H$5,d_Month,"&lt;="&amp;$J$5)</f>
        <v>4025</v>
      </c>
      <c r="E9" s="3"/>
      <c r="F9" s="3"/>
      <c r="G9" s="2">
        <f>IFERROR(D9/A9,0)</f>
        <v>0.33435786675527496</v>
      </c>
      <c r="H9" s="2"/>
      <c r="I9" s="2"/>
      <c r="J9" s="1">
        <f>COUNTIFS(d_Product,IF($E$5="All","*",$E$5),d_Region,IF($B$5="All","*",$B$5),d_Month,"&gt;="&amp;$H$5,d_Month,"&lt;="&amp;$J$5)</f>
        <v>20</v>
      </c>
      <c r="K9" s="1"/>
      <c r="L9" s="1"/>
    </row>
    <row r="10" spans="1:12" ht="18" customHeight="1" x14ac:dyDescent="0.25">
      <c r="A10" s="47" t="str">
        <f>"Avg per order: "&amp;TEXT(IFERROR(A9/J9,0),"#,##0")</f>
        <v>Avg per order: 602</v>
      </c>
      <c r="B10" s="47"/>
      <c r="C10" s="47"/>
      <c r="D10" s="47" t="str">
        <f>"Avg per order: "&amp;TEXT(IFERROR(D9/J9,0),"#,##0")</f>
        <v>Avg per order: 201</v>
      </c>
      <c r="E10" s="47"/>
      <c r="F10" s="47"/>
      <c r="G10" s="47" t="s">
        <v>67</v>
      </c>
      <c r="H10" s="47"/>
      <c r="I10" s="47"/>
      <c r="J10" s="47" t="s">
        <v>68</v>
      </c>
      <c r="K10" s="47"/>
      <c r="L10" s="47"/>
    </row>
    <row r="11" spans="1:12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ht="25.5" customHeight="1" x14ac:dyDescent="0.25">
      <c r="A12" s="48" t="str">
        <f>IF($A$9=0,"No data for this selection - change the filters","Top product: "&amp;INDEX($A$51:$A$55,MATCH(MAX($B$51:$B$55),$B$51:$B$55,0))&amp;"     |     Top region: "&amp;INDEX($E$51:$E$55,MATCH(MAX($F$51:$F$55),$F$51:$F$55,0))&amp;"     |     Best month: "&amp;INDEX($H$51:$H$55,MATCH(MAX($J$51:$J$55),$J$51:$J$55,0)))</f>
        <v>Top product: Product E     |     Top region: East     |     Best month: Jan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1:12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spans="1:12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spans="1:12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 spans="1:12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spans="1:12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2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1:12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1:12" x14ac:dyDescent="0.25">
      <c r="A49" s="38" t="s">
        <v>69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x14ac:dyDescent="0.25">
      <c r="A50" s="43" t="s">
        <v>1</v>
      </c>
      <c r="B50" s="43" t="s">
        <v>3</v>
      </c>
      <c r="C50" s="43" t="s">
        <v>4</v>
      </c>
      <c r="D50" s="39"/>
      <c r="E50" s="43" t="s">
        <v>2</v>
      </c>
      <c r="F50" s="43" t="s">
        <v>3</v>
      </c>
      <c r="G50" s="39"/>
      <c r="H50" s="43" t="s">
        <v>21</v>
      </c>
      <c r="I50" s="43" t="s">
        <v>20</v>
      </c>
      <c r="J50" s="43" t="s">
        <v>3</v>
      </c>
      <c r="K50" s="43" t="s">
        <v>4</v>
      </c>
      <c r="L50" s="39"/>
    </row>
    <row r="51" spans="1:12" x14ac:dyDescent="0.25">
      <c r="A51" s="44" t="s">
        <v>16</v>
      </c>
      <c r="B51" s="45">
        <f>SUMIFS(d_Sales,d_Product,$A51,d_Region,IF($B$5="All","*",$B$5),d_Month,"&gt;="&amp;$H$5,d_Month,"&lt;="&amp;$J$5)</f>
        <v>761</v>
      </c>
      <c r="C51" s="45">
        <f>SUMIFS(d_Profit,d_Product,$A51,d_Region,IF($B$5="All","*",$B$5),d_Month,"&gt;="&amp;$H$5,d_Month,"&lt;="&amp;$J$5)</f>
        <v>299</v>
      </c>
      <c r="D51" s="39"/>
      <c r="E51" s="44" t="s">
        <v>10</v>
      </c>
      <c r="F51" s="45">
        <f>SUMIFS(d_Sales,d_Region,$E51,d_Product,IF($E$5="All","*",$E$5),d_Month,"&gt;="&amp;$H$5,d_Month,"&lt;="&amp;$J$5)</f>
        <v>1314</v>
      </c>
      <c r="G51" s="39"/>
      <c r="H51" s="44" t="s">
        <v>42</v>
      </c>
      <c r="I51" s="46">
        <v>1</v>
      </c>
      <c r="J51" s="45">
        <f>IF(AND($I51&gt;=$H$5,$I51&lt;=$J$5),SUMIFS(d_Sales,d_Month,$I51,d_Product,IF($E$5="All","*",$E$5),d_Region,IF($B$5="All","*",$B$5)),0)</f>
        <v>2880</v>
      </c>
      <c r="K51" s="45">
        <f>IF(AND($I51&gt;=$H$5,$I51&lt;=$J$5),SUMIFS(d_Profit,d_Month,$I51,d_Product,IF($E$5="All","*",$E$5),d_Region,IF($B$5="All","*",$B$5)),0)</f>
        <v>708</v>
      </c>
      <c r="L51" s="39"/>
    </row>
    <row r="52" spans="1:12" x14ac:dyDescent="0.25">
      <c r="A52" s="44" t="s">
        <v>14</v>
      </c>
      <c r="B52" s="45">
        <f>SUMIFS(d_Sales,d_Product,$A52,d_Region,IF($B$5="All","*",$B$5),d_Month,"&gt;="&amp;$H$5,d_Month,"&lt;="&amp;$J$5)</f>
        <v>1918</v>
      </c>
      <c r="C52" s="45">
        <f>SUMIFS(d_Profit,d_Product,$A52,d_Region,IF($B$5="All","*",$B$5),d_Month,"&gt;="&amp;$H$5,d_Month,"&lt;="&amp;$J$5)</f>
        <v>673</v>
      </c>
      <c r="D52" s="39"/>
      <c r="E52" s="44" t="s">
        <v>15</v>
      </c>
      <c r="F52" s="45">
        <f>SUMIFS(d_Sales,d_Region,$E52,d_Product,IF($E$5="All","*",$E$5),d_Month,"&gt;="&amp;$H$5,d_Month,"&lt;="&amp;$J$5)</f>
        <v>3467</v>
      </c>
      <c r="G52" s="39"/>
      <c r="H52" s="44" t="s">
        <v>43</v>
      </c>
      <c r="I52" s="46">
        <v>2</v>
      </c>
      <c r="J52" s="45">
        <f>IF(AND($I52&gt;=$H$5,$I52&lt;=$J$5),SUMIFS(d_Sales,d_Month,$I52,d_Product,IF($E$5="All","*",$E$5),d_Region,IF($B$5="All","*",$B$5)),0)</f>
        <v>2824</v>
      </c>
      <c r="K52" s="45">
        <f>IF(AND($I52&gt;=$H$5,$I52&lt;=$J$5),SUMIFS(d_Profit,d_Month,$I52,d_Product,IF($E$5="All","*",$E$5),d_Region,IF($B$5="All","*",$B$5)),0)</f>
        <v>702</v>
      </c>
      <c r="L52" s="39"/>
    </row>
    <row r="53" spans="1:12" x14ac:dyDescent="0.25">
      <c r="A53" s="44" t="s">
        <v>11</v>
      </c>
      <c r="B53" s="45">
        <f>SUMIFS(d_Sales,d_Product,$A53,d_Region,IF($B$5="All","*",$B$5),d_Month,"&gt;="&amp;$H$5,d_Month,"&lt;="&amp;$J$5)</f>
        <v>3017</v>
      </c>
      <c r="C53" s="45">
        <f>SUMIFS(d_Profit,d_Product,$A53,d_Region,IF($B$5="All","*",$B$5),d_Month,"&gt;="&amp;$H$5,d_Month,"&lt;="&amp;$J$5)</f>
        <v>824</v>
      </c>
      <c r="D53" s="39"/>
      <c r="E53" s="44" t="s">
        <v>13</v>
      </c>
      <c r="F53" s="45">
        <f>SUMIFS(d_Sales,d_Region,$E53,d_Product,IF($E$5="All","*",$E$5),d_Month,"&gt;="&amp;$H$5,d_Month,"&lt;="&amp;$J$5)</f>
        <v>2447</v>
      </c>
      <c r="G53" s="39"/>
      <c r="H53" s="44" t="s">
        <v>44</v>
      </c>
      <c r="I53" s="46">
        <v>3</v>
      </c>
      <c r="J53" s="45">
        <f>IF(AND($I53&gt;=$H$5,$I53&lt;=$J$5),SUMIFS(d_Sales,d_Month,$I53,d_Product,IF($E$5="All","*",$E$5),d_Region,IF($B$5="All","*",$B$5)),0)</f>
        <v>2384</v>
      </c>
      <c r="K53" s="45">
        <f>IF(AND($I53&gt;=$H$5,$I53&lt;=$J$5),SUMIFS(d_Profit,d_Month,$I53,d_Product,IF($E$5="All","*",$E$5),d_Region,IF($B$5="All","*",$B$5)),0)</f>
        <v>1084</v>
      </c>
      <c r="L53" s="39"/>
    </row>
    <row r="54" spans="1:12" x14ac:dyDescent="0.25">
      <c r="A54" s="44" t="s">
        <v>7</v>
      </c>
      <c r="B54" s="45">
        <f>SUMIFS(d_Sales,d_Product,$A54,d_Region,IF($B$5="All","*",$B$5),d_Month,"&gt;="&amp;$H$5,d_Month,"&lt;="&amp;$J$5)</f>
        <v>3120</v>
      </c>
      <c r="C54" s="45">
        <f>SUMIFS(d_Profit,d_Product,$A54,d_Region,IF($B$5="All","*",$B$5),d_Month,"&gt;="&amp;$H$5,d_Month,"&lt;="&amp;$J$5)</f>
        <v>1035</v>
      </c>
      <c r="D54" s="39"/>
      <c r="E54" s="44" t="s">
        <v>8</v>
      </c>
      <c r="F54" s="45">
        <f>SUMIFS(d_Sales,d_Region,$E54,d_Product,IF($E$5="All","*",$E$5),d_Month,"&gt;="&amp;$H$5,d_Month,"&lt;="&amp;$J$5)</f>
        <v>1938</v>
      </c>
      <c r="G54" s="39"/>
      <c r="H54" s="44" t="s">
        <v>45</v>
      </c>
      <c r="I54" s="46">
        <v>4</v>
      </c>
      <c r="J54" s="45">
        <f>IF(AND($I54&gt;=$H$5,$I54&lt;=$J$5),SUMIFS(d_Sales,d_Month,$I54,d_Product,IF($E$5="All","*",$E$5),d_Region,IF($B$5="All","*",$B$5)),0)</f>
        <v>2602</v>
      </c>
      <c r="K54" s="45">
        <f>IF(AND($I54&gt;=$H$5,$I54&lt;=$J$5),SUMIFS(d_Profit,d_Month,$I54,d_Product,IF($E$5="All","*",$E$5),d_Region,IF($B$5="All","*",$B$5)),0)</f>
        <v>996</v>
      </c>
      <c r="L54" s="39"/>
    </row>
    <row r="55" spans="1:12" x14ac:dyDescent="0.25">
      <c r="A55" s="44" t="s">
        <v>9</v>
      </c>
      <c r="B55" s="45">
        <f>SUMIFS(d_Sales,d_Product,$A55,d_Region,IF($B$5="All","*",$B$5),d_Month,"&gt;="&amp;$H$5,d_Month,"&lt;="&amp;$J$5)</f>
        <v>3222</v>
      </c>
      <c r="C55" s="45">
        <f>SUMIFS(d_Profit,d_Product,$A55,d_Region,IF($B$5="All","*",$B$5),d_Month,"&gt;="&amp;$H$5,d_Month,"&lt;="&amp;$J$5)</f>
        <v>1194</v>
      </c>
      <c r="D55" s="39"/>
      <c r="E55" s="44" t="s">
        <v>12</v>
      </c>
      <c r="F55" s="45">
        <f>SUMIFS(d_Sales,d_Region,$E55,d_Product,IF($E$5="All","*",$E$5),d_Month,"&gt;="&amp;$H$5,d_Month,"&lt;="&amp;$J$5)</f>
        <v>2872</v>
      </c>
      <c r="G55" s="39"/>
      <c r="H55" s="44" t="s">
        <v>46</v>
      </c>
      <c r="I55" s="46">
        <v>5</v>
      </c>
      <c r="J55" s="45">
        <f>IF(AND($I55&gt;=$H$5,$I55&lt;=$J$5),SUMIFS(d_Sales,d_Month,$I55,d_Product,IF($E$5="All","*",$E$5),d_Region,IF($B$5="All","*",$B$5)),0)</f>
        <v>1348</v>
      </c>
      <c r="K55" s="45">
        <f>IF(AND($I55&gt;=$H$5,$I55&lt;=$J$5),SUMIFS(d_Profit,d_Month,$I55,d_Product,IF($E$5="All","*",$E$5),d_Region,IF($B$5="All","*",$B$5)),0)</f>
        <v>535</v>
      </c>
      <c r="L55" s="39"/>
    </row>
    <row r="56" spans="1:12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</sheetData>
  <mergeCells count="19">
    <mergeCell ref="A12:L12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8:C8"/>
    <mergeCell ref="D8:F8"/>
    <mergeCell ref="G8:I8"/>
    <mergeCell ref="J8:L8"/>
    <mergeCell ref="A1:L2"/>
    <mergeCell ref="A3:L3"/>
    <mergeCell ref="B5:C5"/>
    <mergeCell ref="E5:F5"/>
    <mergeCell ref="K5:L5"/>
  </mergeCells>
  <conditionalFormatting sqref="A6:L6">
    <cfRule type="expression" dxfId="0" priority="2">
      <formula>$H$5&gt;$J$5</formula>
    </cfRule>
  </conditionalFormatting>
  <dataValidations count="3">
    <dataValidation type="list" showErrorMessage="1" sqref="B5" xr:uid="{00000000-0002-0000-0600-000000000000}">
      <formula1>"All,Central,East,North,South,West Coast"</formula1>
      <formula2>0</formula2>
    </dataValidation>
    <dataValidation type="list" showErrorMessage="1" sqref="E5" xr:uid="{00000000-0002-0000-0600-000001000000}">
      <formula1>"All,Product A,Product B,Product C,Product D,Product E"</formula1>
      <formula2>0</formula2>
    </dataValidation>
    <dataValidation type="list" showErrorMessage="1" sqref="H5 J5" xr:uid="{00000000-0002-0000-0600-000002000000}">
      <formula1>"1,2,3,4,5"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Raw_Data</vt:lpstr>
      <vt:lpstr>Clean_Data</vt:lpstr>
      <vt:lpstr>Pivot_Summary</vt:lpstr>
      <vt:lpstr>Lookups</vt:lpstr>
      <vt:lpstr>Charts</vt:lpstr>
      <vt:lpstr>Dashboard</vt:lpstr>
      <vt:lpstr>d_Month</vt:lpstr>
      <vt:lpstr>d_Product</vt:lpstr>
      <vt:lpstr>d_Profit</vt:lpstr>
      <vt:lpstr>d_Region</vt:lpstr>
      <vt:lpstr>d_Sales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kavita khushalani</cp:lastModifiedBy>
  <cp:revision>2</cp:revision>
  <dcterms:created xsi:type="dcterms:W3CDTF">2026-10-28T04:31:01Z</dcterms:created>
  <dcterms:modified xsi:type="dcterms:W3CDTF">2026-10-28T05:00:14Z</dcterms:modified>
  <dc:language>en-US</dc:language>
</cp:coreProperties>
</file>